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damc\Desktop\"/>
    </mc:Choice>
  </mc:AlternateContent>
  <xr:revisionPtr revIDLastSave="0" documentId="8_{0F124DAD-DD89-4C02-A04D-32E936E5C6F0}" xr6:coauthVersionLast="47" xr6:coauthVersionMax="47" xr10:uidLastSave="{00000000-0000-0000-0000-000000000000}"/>
  <bookViews>
    <workbookView xWindow="-90" yWindow="-90" windowWidth="19380" windowHeight="11460" activeTab="3" xr2:uid="{00000000-000D-0000-FFFF-FFFF00000000}"/>
  </bookViews>
  <sheets>
    <sheet name="Sheet1" sheetId="1" r:id="rId1"/>
    <sheet name="Raw Data" sheetId="2" r:id="rId2"/>
    <sheet name="Calculations" sheetId="4" r:id="rId3"/>
    <sheet name="Graphs" sheetId="6" r:id="rId4"/>
  </sheets>
  <definedNames>
    <definedName name="_xlchart.v1.0" hidden="1">'Raw Data'!$C$3:$C$37</definedName>
    <definedName name="_xlchart.v1.1" hidden="1">'Raw Data'!$D$2</definedName>
    <definedName name="_xlchart.v1.2" hidden="1">'Raw Data'!$D$3:$D$37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6" i="6" l="1"/>
  <c r="AE6" i="6"/>
  <c r="AF5" i="6"/>
  <c r="AE5" i="6"/>
  <c r="E39" i="4"/>
  <c r="E31" i="4"/>
  <c r="AD6" i="6"/>
  <c r="AC6" i="6"/>
  <c r="AD5" i="6"/>
  <c r="AC5" i="6"/>
  <c r="E38" i="4"/>
  <c r="E37" i="4"/>
  <c r="E36" i="4"/>
  <c r="E30" i="4"/>
  <c r="E29" i="4"/>
  <c r="E28" i="4"/>
  <c r="AB6" i="6"/>
  <c r="AB5" i="6"/>
  <c r="Y20" i="6" a="1"/>
  <c r="Y20" i="6" s="1"/>
  <c r="Y19" i="6" a="1"/>
  <c r="Y19" i="6" s="1"/>
  <c r="Y21" i="6" s="1"/>
  <c r="Y18" i="6" a="1"/>
  <c r="Y18" i="6" s="1"/>
  <c r="Y17" i="6"/>
  <c r="Y16" i="6"/>
  <c r="Y10" i="6" a="1"/>
  <c r="Y10" i="6" s="1"/>
  <c r="Y9" i="6"/>
  <c r="Y11" i="6" s="1"/>
  <c r="Y9" i="6" a="1"/>
  <c r="Y8" i="6" a="1"/>
  <c r="Y8" i="6" s="1"/>
  <c r="Y7" i="6"/>
  <c r="Y6" i="6"/>
  <c r="E8" i="4" a="1"/>
  <c r="E8" i="4" s="1"/>
  <c r="E7" i="4"/>
  <c r="E51" i="4" s="1"/>
  <c r="E6" i="4"/>
  <c r="E11" i="4" s="1"/>
  <c r="R4" i="6" a="1"/>
  <c r="R4" i="6" s="1"/>
  <c r="R3" i="6" a="1"/>
  <c r="R3" i="6" s="1"/>
  <c r="Q4" i="6"/>
  <c r="Q3" i="6"/>
  <c r="K7" i="6" a="1"/>
  <c r="K7" i="6" s="1"/>
  <c r="K6" i="6" a="1"/>
  <c r="K6" i="6" s="1"/>
  <c r="K5" i="6" a="1"/>
  <c r="K5" i="6" s="1"/>
  <c r="K4" i="6" a="1"/>
  <c r="K4" i="6" s="1"/>
  <c r="K3" i="6" a="1"/>
  <c r="K3" i="6" s="1"/>
  <c r="J7" i="6" a="1"/>
  <c r="J7" i="6" s="1"/>
  <c r="J6" i="6" a="1"/>
  <c r="J6" i="6" s="1"/>
  <c r="J5" i="6" a="1"/>
  <c r="J5" i="6" s="1"/>
  <c r="J4" i="6" a="1"/>
  <c r="J4" i="6" s="1"/>
  <c r="J3" i="6" a="1"/>
  <c r="J3" i="6" s="1"/>
  <c r="D6" i="6"/>
  <c r="D5" i="6"/>
  <c r="D4" i="6"/>
  <c r="D3" i="6"/>
  <c r="C6" i="6"/>
  <c r="C5" i="6"/>
  <c r="C4" i="6"/>
  <c r="C3" i="6"/>
  <c r="E21" i="4"/>
  <c r="E20" i="4" a="1"/>
  <c r="E20" i="4" s="1"/>
  <c r="E19" i="4" a="1"/>
  <c r="E19" i="4" s="1"/>
  <c r="E18" i="4" a="1"/>
  <c r="E18" i="4" s="1"/>
  <c r="E17" i="4"/>
  <c r="E16" i="4"/>
  <c r="E10" i="4" a="1"/>
  <c r="E10" i="4" s="1"/>
  <c r="E9" i="4" a="1"/>
  <c r="E9" i="4" s="1"/>
  <c r="E54" i="4" l="1"/>
  <c r="E55" i="4" s="1"/>
  <c r="E46" i="4"/>
  <c r="E47" i="4" s="1"/>
  <c r="E52" i="4" s="1"/>
  <c r="E53" i="4" s="1"/>
  <c r="E57" i="4" l="1"/>
  <c r="E56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<sst xmlns="http://schemas.openxmlformats.org/spreadsheetml/2006/main" count="1216" uniqueCount="210">
  <si>
    <t>Id</t>
  </si>
  <si>
    <t>Column2</t>
  </si>
  <si>
    <t>Column1</t>
  </si>
  <si>
    <t>Email</t>
  </si>
  <si>
    <t>Name</t>
  </si>
  <si>
    <t>What is your current academic level?</t>
  </si>
  <si>
    <t>What is your primary field of study/major?</t>
  </si>
  <si>
    <t>How many courses did you take in your most recent full-time semester (Fall 2024 or Winter 2025)?</t>
  </si>
  <si>
    <t>What is your PRIMARY method for taking notes in class?</t>
  </si>
  <si>
    <t>If you use digital devices for note-taking, which device do you primarily use?</t>
  </si>
  <si>
    <t>If you use digital note-taking, which app(s) do you primarily use? (Select all that apply)</t>
  </si>
  <si>
    <t>For what percentage of your courses do you use your PRIMARY note-taking method?</t>
  </si>
  <si>
    <t>In which types of courses do you MOST often take notes? (Select all that apply)</t>
  </si>
  <si>
    <t>Do you adjust your note-taking method based on the course type?</t>
  </si>
  <si>
    <t>In courses where PowerPoint slides are provided in advance, do you:</t>
  </si>
  <si>
    <t>What is your current overall GPA at Concordia University?</t>
  </si>
  <si>
    <t>What was your GPA in your most recent completed semester?</t>
  </si>
  <si>
    <t>In courses where you take notes regularly, what is your typical grade range?</t>
  </si>
  <si>
    <t>How long have you been using your current PRIMARY note-taking method?</t>
  </si>
  <si>
    <t>How satisfied are you with your current note-taking method?</t>
  </si>
  <si>
    <t>Do you review your notes regularly for studying?</t>
  </si>
  <si>
    <t>Have you ever switched from paper to digital note-taking (or vice versa)?</t>
  </si>
  <si>
    <t>If you answered yes to question 17, did you notice any change in your academic performance after switching?</t>
  </si>
  <si>
    <t>anonymous</t>
  </si>
  <si>
    <t>Maybe Undergraduate (3rd year)</t>
  </si>
  <si>
    <t>Engineering</t>
  </si>
  <si>
    <t xml:space="preserve"> 3-4 courses</t>
  </si>
  <si>
    <t>Digital notes on tablet with stylus (iPad, Surface, etc.)</t>
  </si>
  <si>
    <t xml:space="preserve"> iPad with Apple Pencil</t>
  </si>
  <si>
    <t>GoodNotes;</t>
  </si>
  <si>
    <t xml:space="preserve"> 76-100%</t>
  </si>
  <si>
    <t xml:space="preserve"> Physics/Chemistry courses</t>
  </si>
  <si>
    <t xml:space="preserve"> Sometimes, depending on the specific course</t>
  </si>
  <si>
    <t>Annotate directly on the provided slides (if digital)</t>
  </si>
  <si>
    <t xml:space="preserve">  2.30-2.69 (C+ to B-)</t>
  </si>
  <si>
    <t>2.70-3.29 (B- to B+)</t>
  </si>
  <si>
    <t xml:space="preserve">  A- to B+ (80-89%)</t>
  </si>
  <si>
    <t xml:space="preserve"> 6 months - 1 year</t>
  </si>
  <si>
    <t>Very satisfied</t>
  </si>
  <si>
    <t xml:space="preserve"> Often (for most courses)</t>
  </si>
  <si>
    <t xml:space="preserve"> Yes, switched from paper to digital</t>
  </si>
  <si>
    <t xml:space="preserve"> Significant improvement</t>
  </si>
  <si>
    <t>Undergraduate (2nd year)</t>
  </si>
  <si>
    <t xml:space="preserve"> More than 6 courses</t>
  </si>
  <si>
    <t xml:space="preserve"> Engineering technical courses</t>
  </si>
  <si>
    <t>No, I use the same method for all courses</t>
  </si>
  <si>
    <t xml:space="preserve"> B to B- (70-79%)</t>
  </si>
  <si>
    <t xml:space="preserve"> 1-2 years</t>
  </si>
  <si>
    <t xml:space="preserve"> Sometimes (for some courses)</t>
  </si>
  <si>
    <t>Slight improvement</t>
  </si>
  <si>
    <t xml:space="preserve"> 5-6 courses</t>
  </si>
  <si>
    <t xml:space="preserve"> 51-75%</t>
  </si>
  <si>
    <t>Yes, I use different methods for different types of courses</t>
  </si>
  <si>
    <t xml:space="preserve"> Still take detailed notes during lecture</t>
  </si>
  <si>
    <t xml:space="preserve"> 3.30-3.69 (B+ to A-)</t>
  </si>
  <si>
    <t xml:space="preserve"> Neutral</t>
  </si>
  <si>
    <t>Undergraduate (1st year)</t>
  </si>
  <si>
    <t xml:space="preserve"> Handwritten notes on paper</t>
  </si>
  <si>
    <t xml:space="preserve"> I don't use digital devices for notes</t>
  </si>
  <si>
    <t xml:space="preserve"> I don't use digital note-taking;</t>
  </si>
  <si>
    <t xml:space="preserve"> Problem-solving/exercise-based courses</t>
  </si>
  <si>
    <t xml:space="preserve"> Don't attend/take notes if slides are provided</t>
  </si>
  <si>
    <t xml:space="preserve"> 3.70-4.00 (A- to A+)</t>
  </si>
  <si>
    <t xml:space="preserve"> More than 3 years</t>
  </si>
  <si>
    <t xml:space="preserve"> No, always used the same method</t>
  </si>
  <si>
    <t>Not applicable (didn't switch methods)</t>
  </si>
  <si>
    <t>Business/Commerce (JMSB)</t>
  </si>
  <si>
    <t xml:space="preserve"> This is my first semester at Concordia</t>
  </si>
  <si>
    <t>OneNote;</t>
  </si>
  <si>
    <t>26-50%</t>
  </si>
  <si>
    <t xml:space="preserve"> Math/Statistics courses</t>
  </si>
  <si>
    <t xml:space="preserve">  A+ to A (90-100%)</t>
  </si>
  <si>
    <t xml:space="preserve"> iPad with other stylus</t>
  </si>
  <si>
    <t>Noteful;</t>
  </si>
  <si>
    <t xml:space="preserve"> Slight decline</t>
  </si>
  <si>
    <t xml:space="preserve"> 2-3 years</t>
  </si>
  <si>
    <t>0-25%</t>
  </si>
  <si>
    <t xml:space="preserve"> 2.00-2.29 (C to C+)</t>
  </si>
  <si>
    <t xml:space="preserve">   C+ to C (60-69%)</t>
  </si>
  <si>
    <t>Less than 6 months</t>
  </si>
  <si>
    <t xml:space="preserve"> Satisfied</t>
  </si>
  <si>
    <t xml:space="preserve"> Notability;</t>
  </si>
  <si>
    <t xml:space="preserve"> Take minimal notes, rely mainly on slides</t>
  </si>
  <si>
    <t xml:space="preserve"> Rarely</t>
  </si>
  <si>
    <t>Yes, switched from digital to paper</t>
  </si>
  <si>
    <t xml:space="preserve"> No change</t>
  </si>
  <si>
    <t>dont take notes</t>
  </si>
  <si>
    <t xml:space="preserve"> Laptop/computer (typing only)</t>
  </si>
  <si>
    <t xml:space="preserve"> Lecture-heavy courses (mostly listening)</t>
  </si>
  <si>
    <t xml:space="preserve"> Never</t>
  </si>
  <si>
    <t xml:space="preserve"> I don't take notes in some course types</t>
  </si>
  <si>
    <t>Fine Arts</t>
  </si>
  <si>
    <t xml:space="preserve"> Mix of paper and digital (roughly equal)</t>
  </si>
  <si>
    <t>Notion;</t>
  </si>
  <si>
    <t>Courses with provided PowerPoint slides</t>
  </si>
  <si>
    <t xml:space="preserve"> Yes, switched between different digital methods</t>
  </si>
  <si>
    <t xml:space="preserve"> Arts and Science</t>
  </si>
  <si>
    <t>OneNote;Google Docs/Drive;Word;</t>
  </si>
  <si>
    <t>Graduate student</t>
  </si>
  <si>
    <t xml:space="preserve"> Discussion/seminar courses</t>
  </si>
  <si>
    <t xml:space="preserve"> Prefer not to answer</t>
  </si>
  <si>
    <t xml:space="preserve"> Always (for every course)</t>
  </si>
  <si>
    <t>noteful;</t>
  </si>
  <si>
    <t>Undergraduate (4th year or higher)</t>
  </si>
  <si>
    <t>Digital notes on laptop/computer (typing)</t>
  </si>
  <si>
    <t>Notion;OneNote;</t>
  </si>
  <si>
    <t xml:space="preserve"> Business/Economics courses</t>
  </si>
  <si>
    <t xml:space="preserve"> Microsoft Surface with stylus</t>
  </si>
  <si>
    <t>OneNote; Apple Notes;</t>
  </si>
  <si>
    <t>History/Literature courses</t>
  </si>
  <si>
    <t xml:space="preserve"> Dissatisfied</t>
  </si>
  <si>
    <t>Other tablet with stylus</t>
  </si>
  <si>
    <t>OneNote; Notability;</t>
  </si>
  <si>
    <t xml:space="preserve"> Print slides and write notes on paper</t>
  </si>
  <si>
    <t xml:space="preserve"> Notability;GoodNotes; Apple Notes;</t>
  </si>
  <si>
    <t>OneNote;Google Docs/Drive;</t>
  </si>
  <si>
    <t>Google Docs/Drive;</t>
  </si>
  <si>
    <t>Courses with provided PowerPoint slides;</t>
  </si>
  <si>
    <t xml:space="preserve"> Engineering technical courses;</t>
  </si>
  <si>
    <t xml:space="preserve"> Below 2.00</t>
  </si>
  <si>
    <t xml:space="preserve"> Very dissatisfied</t>
  </si>
  <si>
    <t xml:space="preserve"> Significant decline</t>
  </si>
  <si>
    <t xml:space="preserve"> Math/Statistics courses;</t>
  </si>
  <si>
    <t xml:space="preserve"> Physics/Chemistry courses;</t>
  </si>
  <si>
    <t xml:space="preserve"> Math/Statistics courses; Courses with lots of diagrams/equations;</t>
  </si>
  <si>
    <t xml:space="preserve"> Lecture-heavy courses (mostly listening);Courses with provided PowerPoint slides;</t>
  </si>
  <si>
    <t xml:space="preserve"> Apple Notes; Notability;</t>
  </si>
  <si>
    <t xml:space="preserve"> Physics/Chemistry courses; Engineering technical courses;</t>
  </si>
  <si>
    <t xml:space="preserve"> Math/Statistics courses; Physics/Chemistry courses;</t>
  </si>
  <si>
    <t xml:space="preserve"> Notability;GoodNotes;</t>
  </si>
  <si>
    <t xml:space="preserve"> Engineering technical courses; Courses with lots of diagrams/equations; Problem-solving/exercise-based courses;</t>
  </si>
  <si>
    <t>Undergraduate (3rd year)</t>
  </si>
  <si>
    <t xml:space="preserve"> Math/Statistics courses; Problem-solving/exercise-based courses;</t>
  </si>
  <si>
    <t xml:space="preserve"> Smartphone</t>
  </si>
  <si>
    <t>GoodNotes;OneNote;Google Docs/Drive;</t>
  </si>
  <si>
    <t xml:space="preserve"> Physics/Chemistry courses; Math/Statistics courses;History/Literature courses; Problem-solving/exercise-based courses; Discussion/seminar courses;</t>
  </si>
  <si>
    <t xml:space="preserve"> Math/Statistics courses; Engineering technical courses; Courses with lots of diagrams/equations;</t>
  </si>
  <si>
    <t>History/Literature courses; Lecture-heavy courses (mostly listening); Discussion/seminar courses;</t>
  </si>
  <si>
    <t>OneNote;Notion;</t>
  </si>
  <si>
    <t xml:space="preserve"> Business/Economics courses; Lecture-heavy courses (mostly listening);Courses with provided PowerPoint slides;</t>
  </si>
  <si>
    <t>OneNote;GoodNotes;</t>
  </si>
  <si>
    <t xml:space="preserve"> Math/Statistics courses; Engineering technical courses; Problem-solving/exercise-based courses;</t>
  </si>
  <si>
    <t xml:space="preserve"> This is my first semester</t>
  </si>
  <si>
    <t xml:space="preserve"> Notability; Apple Notes;</t>
  </si>
  <si>
    <t xml:space="preserve"> Math/Statistics courses; Physics/Chemistry courses; Engineering technical courses; Courses with lots of diagrams/equations;</t>
  </si>
  <si>
    <t>Google Docs/Drive;Notion;</t>
  </si>
  <si>
    <t>GoodNotes;OneNote;</t>
  </si>
  <si>
    <t xml:space="preserve"> Math/Statistics courses;History/Literature courses; Courses with lots of diagrams/equations; Discussion/seminar courses;</t>
  </si>
  <si>
    <t>Math</t>
  </si>
  <si>
    <t xml:space="preserve"> Math/Statistics courses; Physics/Chemistry courses; Problem-solving/exercise-based courses;</t>
  </si>
  <si>
    <t xml:space="preserve"> Math/Statistics courses; Engineering technical courses; Courses with lots of diagrams/equations; Problem-solving/exercise-based courses;</t>
  </si>
  <si>
    <t>Student_ID</t>
  </si>
  <si>
    <t>Group</t>
  </si>
  <si>
    <t>GPA_Numeric</t>
  </si>
  <si>
    <t>Academic Level</t>
  </si>
  <si>
    <t>Major</t>
  </si>
  <si>
    <t>Digital</t>
  </si>
  <si>
    <t>Undergraduate</t>
  </si>
  <si>
    <t>Paper</t>
  </si>
  <si>
    <t>A.Descriptive Statistics</t>
  </si>
  <si>
    <t>Digital count</t>
  </si>
  <si>
    <t>Digital Mean</t>
  </si>
  <si>
    <t>Digital Median</t>
  </si>
  <si>
    <t>Digital StdDEV</t>
  </si>
  <si>
    <t>Digital Variance</t>
  </si>
  <si>
    <t>Digital StdError</t>
  </si>
  <si>
    <t>Raw Data'!C3:C37="Digital",'Raw Data'!D3:D37</t>
  </si>
  <si>
    <t>Paper Count</t>
  </si>
  <si>
    <t>Paper Mean</t>
  </si>
  <si>
    <t>Paper Median</t>
  </si>
  <si>
    <t>Paper StdDEV</t>
  </si>
  <si>
    <t>Paper Variance</t>
  </si>
  <si>
    <t>Paper StdError</t>
  </si>
  <si>
    <t>Confidence Intervals (95%)</t>
  </si>
  <si>
    <t xml:space="preserve">Digital </t>
  </si>
  <si>
    <t>Digital df</t>
  </si>
  <si>
    <t>Digital t_critical</t>
  </si>
  <si>
    <t>Digital Cl_Lower</t>
  </si>
  <si>
    <t>Digital Cl_upper</t>
  </si>
  <si>
    <t>Paper df</t>
  </si>
  <si>
    <t>Paper t_critical</t>
  </si>
  <si>
    <t>Paper_Cl_Lower</t>
  </si>
  <si>
    <t>Paper Cl_Upper</t>
  </si>
  <si>
    <t>Two-Sample t-test</t>
  </si>
  <si>
    <t>Pooled SD</t>
  </si>
  <si>
    <t>Pooled Variance</t>
  </si>
  <si>
    <t>Pooled StdDev</t>
  </si>
  <si>
    <t>t-Test</t>
  </si>
  <si>
    <t>Mean Difference</t>
  </si>
  <si>
    <t>SE Difference</t>
  </si>
  <si>
    <t>t Statistic</t>
  </si>
  <si>
    <t>df Total</t>
  </si>
  <si>
    <t>t critical onetail</t>
  </si>
  <si>
    <t>p value onetail</t>
  </si>
  <si>
    <t>p value two tail</t>
  </si>
  <si>
    <t>GPA Range</t>
  </si>
  <si>
    <t>Digital Count</t>
  </si>
  <si>
    <t>Statistic</t>
  </si>
  <si>
    <t>Mean Formula</t>
  </si>
  <si>
    <t>Standard Error Formula</t>
  </si>
  <si>
    <t>Min</t>
  </si>
  <si>
    <t>Q1</t>
  </si>
  <si>
    <t>Mean</t>
  </si>
  <si>
    <t>Cl lower</t>
  </si>
  <si>
    <t>Cl upper</t>
  </si>
  <si>
    <t>Lower Error</t>
  </si>
  <si>
    <t>Upper error</t>
  </si>
  <si>
    <t>Median</t>
  </si>
  <si>
    <t>Q3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</si>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</sst>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quotePrefix="1"/>
    <xf numFmtId="22" fontId="0" fillId="0" borderId="0" xfId="0" applyNumberFormat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0" xfId="0" applyFill="1" applyAlignment="1">
      <alignment horizontal="center"/>
    </xf>
    <xf numFmtId="2" fontId="0" fillId="3" borderId="6" xfId="0" applyNumberForma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2" fontId="0" fillId="3" borderId="7" xfId="0" applyNumberForma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2" fontId="0" fillId="3" borderId="8" xfId="0" applyNumberFormat="1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7" borderId="0" xfId="0" applyFill="1"/>
    <xf numFmtId="0" fontId="0" fillId="5" borderId="2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10" borderId="8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8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21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u="none" strike="noStrike" baseline="0"/>
              <a:t>GPA Distribution Comparison: Digital vs Paper Note-Takin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Graphs!$C$2</c:f>
              <c:strCache>
                <c:ptCount val="1"/>
                <c:pt idx="0">
                  <c:v>Digital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Graphs!$B$3:$B$6</c:f>
              <c:numCache>
                <c:formatCode>General</c:formatCode>
                <c:ptCount val="4"/>
                <c:pt idx="0">
                  <c:v>2.5</c:v>
                </c:pt>
                <c:pt idx="1">
                  <c:v>3</c:v>
                </c:pt>
                <c:pt idx="2">
                  <c:v>3.5</c:v>
                </c:pt>
                <c:pt idx="3">
                  <c:v>3.85</c:v>
                </c:pt>
              </c:numCache>
            </c:numRef>
          </c:cat>
          <c:val>
            <c:numRef>
              <c:f>Graphs!$C$3:$C$6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26-43C3-B7F0-5185B9C28563}"/>
            </c:ext>
          </c:extLst>
        </c:ser>
        <c:ser>
          <c:idx val="1"/>
          <c:order val="1"/>
          <c:tx>
            <c:strRef>
              <c:f>Graphs!$D$2</c:f>
              <c:strCache>
                <c:ptCount val="1"/>
                <c:pt idx="0">
                  <c:v>Paper 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Graphs!$B$3:$B$6</c:f>
              <c:numCache>
                <c:formatCode>General</c:formatCode>
                <c:ptCount val="4"/>
                <c:pt idx="0">
                  <c:v>2.5</c:v>
                </c:pt>
                <c:pt idx="1">
                  <c:v>3</c:v>
                </c:pt>
                <c:pt idx="2">
                  <c:v>3.5</c:v>
                </c:pt>
                <c:pt idx="3">
                  <c:v>3.85</c:v>
                </c:pt>
              </c:numCache>
            </c:numRef>
          </c:cat>
          <c:val>
            <c:numRef>
              <c:f>Graphs!$D$3:$D$6</c:f>
              <c:numCache>
                <c:formatCode>General</c:formatCode>
                <c:ptCount val="4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26-43C3-B7F0-5185B9C285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7203391"/>
        <c:axId val="1727203871"/>
      </c:barChart>
      <c:catAx>
        <c:axId val="17272033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u="none" strike="noStrike" baseline="0"/>
                  <a:t>GPA Values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203871"/>
        <c:crosses val="autoZero"/>
        <c:auto val="1"/>
        <c:lblAlgn val="ctr"/>
        <c:lblOffset val="100"/>
        <c:noMultiLvlLbl val="0"/>
      </c:catAx>
      <c:valAx>
        <c:axId val="1727203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u="none" strike="noStrike" baseline="0"/>
                  <a:t>Number of Students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203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u="none" strike="noStrike" baseline="0"/>
              <a:t>Mean GPA Comparison with Standard Error Bars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Graphs!$Q$2</c:f>
              <c:strCache>
                <c:ptCount val="1"/>
                <c:pt idx="0">
                  <c:v>Mean Formula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Graphs!$R$2:$R$4</c:f>
                <c:numCache>
                  <c:formatCode>General</c:formatCode>
                  <c:ptCount val="3"/>
                  <c:pt idx="0">
                    <c:v>0</c:v>
                  </c:pt>
                  <c:pt idx="1">
                    <c:v>9.4404086348390523E-2</c:v>
                  </c:pt>
                  <c:pt idx="2">
                    <c:v>0.13369301629466468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Graphs!$P$3:$P$4</c:f>
              <c:strCache>
                <c:ptCount val="2"/>
                <c:pt idx="0">
                  <c:v>Digital</c:v>
                </c:pt>
                <c:pt idx="1">
                  <c:v>Paper</c:v>
                </c:pt>
              </c:strCache>
            </c:strRef>
          </c:cat>
          <c:val>
            <c:numRef>
              <c:f>Graphs!$Q$3:$Q$4</c:f>
              <c:numCache>
                <c:formatCode>General</c:formatCode>
                <c:ptCount val="2"/>
                <c:pt idx="0">
                  <c:v>3.4261904761904765</c:v>
                </c:pt>
                <c:pt idx="1">
                  <c:v>3.2178571428571425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55-4A65-8C9C-B0980FFDED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7269631"/>
        <c:axId val="637276351"/>
      </c:barChart>
      <c:catAx>
        <c:axId val="6372696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u="none" strike="noStrike" baseline="0"/>
                  <a:t>Note-Taking Method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276351"/>
        <c:crosses val="autoZero"/>
        <c:auto val="1"/>
        <c:lblAlgn val="ctr"/>
        <c:lblOffset val="100"/>
        <c:noMultiLvlLbl val="0"/>
      </c:catAx>
      <c:valAx>
        <c:axId val="637276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u="none" strike="noStrike" baseline="0"/>
                  <a:t>Mean GPA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269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u="none" strike="noStrike" baseline="0"/>
              <a:t>95% Confidence Intervals for Mean GPA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Graphs!$AB$4</c:f>
              <c:strCache>
                <c:ptCount val="1"/>
                <c:pt idx="0">
                  <c:v>Mean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both"/>
            <c:errValType val="cust"/>
            <c:noEndCap val="0"/>
            <c:plus>
              <c:numRef>
                <c:f>Graphs!$AF$5:$AF$6</c:f>
                <c:numCache>
                  <c:formatCode>General</c:formatCode>
                  <c:ptCount val="2"/>
                  <c:pt idx="0">
                    <c:v>0.19692347339527316</c:v>
                  </c:pt>
                  <c:pt idx="1">
                    <c:v>0.28882620199096287</c:v>
                  </c:pt>
                </c:numCache>
              </c:numRef>
            </c:plus>
            <c:minus>
              <c:numRef>
                <c:f>Graphs!$AE$5:$AE$6</c:f>
                <c:numCache>
                  <c:formatCode>General</c:formatCode>
                  <c:ptCount val="2"/>
                  <c:pt idx="0">
                    <c:v>0.19692347339527316</c:v>
                  </c:pt>
                  <c:pt idx="1">
                    <c:v>0.28882620199096287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Graphs!$AA$5:$AA$6</c:f>
              <c:strCache>
                <c:ptCount val="2"/>
                <c:pt idx="0">
                  <c:v>Digital</c:v>
                </c:pt>
                <c:pt idx="1">
                  <c:v>Paper</c:v>
                </c:pt>
              </c:strCache>
            </c:strRef>
          </c:cat>
          <c:val>
            <c:numRef>
              <c:f>Graphs!$AB$5:$AB$6</c:f>
              <c:numCache>
                <c:formatCode>General</c:formatCode>
                <c:ptCount val="2"/>
                <c:pt idx="0">
                  <c:v>3.4261904761904765</c:v>
                </c:pt>
                <c:pt idx="1">
                  <c:v>3.2178571428571425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B0-4BAD-995E-2FA44CFDC72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68452655"/>
        <c:axId val="1468446415"/>
      </c:barChart>
      <c:catAx>
        <c:axId val="14684526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u="none" strike="noStrike" baseline="0"/>
                  <a:t>Note-Taking Method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446415"/>
        <c:crosses val="autoZero"/>
        <c:auto val="1"/>
        <c:lblAlgn val="ctr"/>
        <c:lblOffset val="100"/>
        <c:noMultiLvlLbl val="0"/>
      </c:catAx>
      <c:valAx>
        <c:axId val="1468446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u="none" strike="noStrike" baseline="0"/>
                  <a:t>GPA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452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CA"/>
              <a:t>GPA Distribution - Box Plot Comparison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boxWhisker" uniqueId="{98106C02-C4C9-466C-882E-BE287EADB754}">
          <cx:tx>
            <cx:txData>
              <cx:f>_xlchart.v1.1</cx:f>
              <cx:v>GPA_Numeric</cx:v>
            </cx:txData>
          </cx:tx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CA"/>
                  <a:t>Note-Taking Method</a:t>
                </a: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endParaRPr>
              </a:p>
            </cx:rich>
          </cx:tx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CA"/>
                  <a:t>GPA</a:t>
                </a: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endParaRPr>
              </a:p>
            </cx:rich>
          </cx:tx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134649</xdr:colOff>
      <xdr:row>8</xdr:row>
      <xdr:rowOff>167842</xdr:rowOff>
    </xdr:from>
    <xdr:to>
      <xdr:col>4</xdr:col>
      <xdr:colOff>511031</xdr:colOff>
      <xdr:row>23</xdr:row>
      <xdr:rowOff>105208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77A5EA-AC97-C3B6-A9BF-D2901EE408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10</xdr:row>
      <xdr:rowOff>0</xdr:rowOff>
    </xdr:from>
    <xdr:to>
      <xdr:col>12</xdr:col>
      <xdr:colOff>345418</xdr:colOff>
      <xdr:row>24</xdr:row>
      <xdr:rowOff>89722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0380EF9C-17E9-4BA4-B25F-97820015CA8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57975" y="1939925"/>
              <a:ext cx="4603093" cy="27122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15</xdr:col>
      <xdr:colOff>124714</xdr:colOff>
      <xdr:row>9</xdr:row>
      <xdr:rowOff>19937</xdr:rowOff>
    </xdr:from>
    <xdr:to>
      <xdr:col>19</xdr:col>
      <xdr:colOff>198138</xdr:colOff>
      <xdr:row>23</xdr:row>
      <xdr:rowOff>144974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CB6F3A6-7F65-C89B-D0E2-D040AAC1E0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739727</xdr:colOff>
      <xdr:row>8</xdr:row>
      <xdr:rowOff>182728</xdr:rowOff>
    </xdr:from>
    <xdr:to>
      <xdr:col>30</xdr:col>
      <xdr:colOff>449712</xdr:colOff>
      <xdr:row>23</xdr:row>
      <xdr:rowOff>82644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4980C1E-6CA1-440A-A074-2F8B545CEE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W54" totalsRowShown="0">
  <autoFilter ref="A1:W54" xr:uid="{00000000-0009-0000-0100-000001000000}"/>
  <tableColumns count="23">
    <tableColumn id="1" xr3:uid="{00000000-0010-0000-0000-000001000000}" name="Id" dataDxfId="20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Column2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lumn1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19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18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What is your current academic level?" dataDxfId="17">
      <extLst>
        <ext xmlns:xlmsforms="http://schemas.microsoft.com/office/spreadsheetml/2023/msForms" uri="{FCC71383-01E1-4257-9335-427F07BE8D7F}">
          <xlmsforms:question id="r51f135b7e12845cdb8b8ce70c5ca6da2"/>
        </ext>
      </extLst>
    </tableColumn>
    <tableColumn id="7" xr3:uid="{00000000-0010-0000-0000-000007000000}" name="What is your primary field of study/major?" dataDxfId="16">
      <extLst>
        <ext xmlns:xlmsforms="http://schemas.microsoft.com/office/spreadsheetml/2023/msForms" uri="{FCC71383-01E1-4257-9335-427F07BE8D7F}">
          <xlmsforms:question id="rd2a6eec6f80347cfb0f64479f4fd98c0"/>
        </ext>
      </extLst>
    </tableColumn>
    <tableColumn id="8" xr3:uid="{00000000-0010-0000-0000-000008000000}" name="How many courses did you take in your most recent full-time semester (Fall 2024 or Winter 2025)?" dataDxfId="15">
      <extLst>
        <ext xmlns:xlmsforms="http://schemas.microsoft.com/office/spreadsheetml/2023/msForms" uri="{FCC71383-01E1-4257-9335-427F07BE8D7F}">
          <xlmsforms:question id="rde82c5149b854466ac15701e44aa7a61"/>
        </ext>
      </extLst>
    </tableColumn>
    <tableColumn id="9" xr3:uid="{00000000-0010-0000-0000-000009000000}" name="What is your PRIMARY method for taking notes in class?" dataDxfId="14">
      <extLst>
        <ext xmlns:xlmsforms="http://schemas.microsoft.com/office/spreadsheetml/2023/msForms" uri="{FCC71383-01E1-4257-9335-427F07BE8D7F}">
          <xlmsforms:question id="ra1d040f7643246b8ba029938eff73da3"/>
        </ext>
      </extLst>
    </tableColumn>
    <tableColumn id="10" xr3:uid="{00000000-0010-0000-0000-00000A000000}" name="If you use digital devices for note-taking, which device do you primarily use?" dataDxfId="13">
      <extLst>
        <ext xmlns:xlmsforms="http://schemas.microsoft.com/office/spreadsheetml/2023/msForms" uri="{FCC71383-01E1-4257-9335-427F07BE8D7F}">
          <xlmsforms:question id="r12152fbf826a4605ab0b4377e551e12d"/>
        </ext>
      </extLst>
    </tableColumn>
    <tableColumn id="11" xr3:uid="{00000000-0010-0000-0000-00000B000000}" name="If you use digital note-taking, which app(s) do you primarily use? (Select all that apply)" dataDxfId="12">
      <extLst>
        <ext xmlns:xlmsforms="http://schemas.microsoft.com/office/spreadsheetml/2023/msForms" uri="{FCC71383-01E1-4257-9335-427F07BE8D7F}">
          <xlmsforms:question id="r5152cd71d3af4f949d84d7414cbcbab7"/>
        </ext>
      </extLst>
    </tableColumn>
    <tableColumn id="12" xr3:uid="{00000000-0010-0000-0000-00000C000000}" name="For what percentage of your courses do you use your PRIMARY note-taking method?" dataDxfId="11">
      <extLst>
        <ext xmlns:xlmsforms="http://schemas.microsoft.com/office/spreadsheetml/2023/msForms" uri="{FCC71383-01E1-4257-9335-427F07BE8D7F}">
          <xlmsforms:question id="ra133f88879b24e7380fe6efbdde60831"/>
        </ext>
      </extLst>
    </tableColumn>
    <tableColumn id="13" xr3:uid="{00000000-0010-0000-0000-00000D000000}" name="In which types of courses do you MOST often take notes? (Select all that apply)" dataDxfId="10">
      <extLst>
        <ext xmlns:xlmsforms="http://schemas.microsoft.com/office/spreadsheetml/2023/msForms" uri="{FCC71383-01E1-4257-9335-427F07BE8D7F}">
          <xlmsforms:question id="r15da2f114573407aa7829376e48b042b"/>
        </ext>
      </extLst>
    </tableColumn>
    <tableColumn id="14" xr3:uid="{00000000-0010-0000-0000-00000E000000}" name="Do you adjust your note-taking method based on the course type?" dataDxfId="9">
      <extLst>
        <ext xmlns:xlmsforms="http://schemas.microsoft.com/office/spreadsheetml/2023/msForms" uri="{FCC71383-01E1-4257-9335-427F07BE8D7F}">
          <xlmsforms:question id="r3537461e099846d7afc29770b1ffa122"/>
        </ext>
      </extLst>
    </tableColumn>
    <tableColumn id="15" xr3:uid="{00000000-0010-0000-0000-00000F000000}" name="In courses where PowerPoint slides are provided in advance, do you:" dataDxfId="8">
      <extLst>
        <ext xmlns:xlmsforms="http://schemas.microsoft.com/office/spreadsheetml/2023/msForms" uri="{FCC71383-01E1-4257-9335-427F07BE8D7F}">
          <xlmsforms:question id="r81769e392eb84de3a9b7332340f48606"/>
        </ext>
      </extLst>
    </tableColumn>
    <tableColumn id="16" xr3:uid="{00000000-0010-0000-0000-000010000000}" name="What is your current overall GPA at Concordia University?" dataDxfId="7">
      <extLst>
        <ext xmlns:xlmsforms="http://schemas.microsoft.com/office/spreadsheetml/2023/msForms" uri="{FCC71383-01E1-4257-9335-427F07BE8D7F}">
          <xlmsforms:question id="rd408dfac3c54430ba543d20b3d24a558"/>
        </ext>
      </extLst>
    </tableColumn>
    <tableColumn id="17" xr3:uid="{00000000-0010-0000-0000-000011000000}" name="What was your GPA in your most recent completed semester?" dataDxfId="6">
      <extLst>
        <ext xmlns:xlmsforms="http://schemas.microsoft.com/office/spreadsheetml/2023/msForms" uri="{FCC71383-01E1-4257-9335-427F07BE8D7F}">
          <xlmsforms:question id="r95234780131248b792ee80eefd4e5267"/>
        </ext>
      </extLst>
    </tableColumn>
    <tableColumn id="18" xr3:uid="{00000000-0010-0000-0000-000012000000}" name="In courses where you take notes regularly, what is your typical grade range?" dataDxfId="5">
      <extLst>
        <ext xmlns:xlmsforms="http://schemas.microsoft.com/office/spreadsheetml/2023/msForms" uri="{FCC71383-01E1-4257-9335-427F07BE8D7F}">
          <xlmsforms:question id="rb5d2acb4ec8540fc90c946c23d4eeacd"/>
        </ext>
      </extLst>
    </tableColumn>
    <tableColumn id="19" xr3:uid="{00000000-0010-0000-0000-000013000000}" name="How long have you been using your current PRIMARY note-taking method?" dataDxfId="4">
      <extLst>
        <ext xmlns:xlmsforms="http://schemas.microsoft.com/office/spreadsheetml/2023/msForms" uri="{FCC71383-01E1-4257-9335-427F07BE8D7F}">
          <xlmsforms:question id="r948fb303b4a445b8b1f80c1cb03391d1"/>
        </ext>
      </extLst>
    </tableColumn>
    <tableColumn id="20" xr3:uid="{00000000-0010-0000-0000-000014000000}" name="How satisfied are you with your current note-taking method?" dataDxfId="3">
      <extLst>
        <ext xmlns:xlmsforms="http://schemas.microsoft.com/office/spreadsheetml/2023/msForms" uri="{FCC71383-01E1-4257-9335-427F07BE8D7F}">
          <xlmsforms:question id="rdb2ccc7202a742e08204f211a780c83b"/>
        </ext>
      </extLst>
    </tableColumn>
    <tableColumn id="21" xr3:uid="{00000000-0010-0000-0000-000015000000}" name="Do you review your notes regularly for studying?" dataDxfId="2">
      <extLst>
        <ext xmlns:xlmsforms="http://schemas.microsoft.com/office/spreadsheetml/2023/msForms" uri="{FCC71383-01E1-4257-9335-427F07BE8D7F}">
          <xlmsforms:question id="r0d15d33ed0cf49e4901fdcc212787a9e"/>
        </ext>
      </extLst>
    </tableColumn>
    <tableColumn id="22" xr3:uid="{00000000-0010-0000-0000-000016000000}" name="Have you ever switched from paper to digital note-taking (or vice versa)?" dataDxfId="1">
      <extLst>
        <ext xmlns:xlmsforms="http://schemas.microsoft.com/office/spreadsheetml/2023/msForms" uri="{FCC71383-01E1-4257-9335-427F07BE8D7F}">
          <xlmsforms:question id="r249fb434c2cb460a9b1a5a55e1574a01"/>
        </ext>
      </extLst>
    </tableColumn>
    <tableColumn id="23" xr3:uid="{00000000-0010-0000-0000-000017000000}" name="If you answered yes to question 17, did you notice any change in your academic performance after switching?" dataDxfId="0">
      <extLst>
        <ext xmlns:xlmsforms="http://schemas.microsoft.com/office/spreadsheetml/2023/msForms" uri="{FCC71383-01E1-4257-9335-427F07BE8D7F}">
          <xlmsforms:question id="ra689197a4dd84014aa27061c4bc827e5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hfFpVS_SE06YUM5bGrzS6CoW7cWhnqlCjG6lUnf7ZgFUM1dSWUJVT0dPTE4zU0VKOE0xS0hHUU5QMC4u" isFormConnected="1" maxResponseId="54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r51f135b7e12845cdb8b8ce70c5ca6da2</xlmsforms:syncedQuestionId>
        <xlmsforms:syncedQuestionId>rd2a6eec6f80347cfb0f64479f4fd98c0</xlmsforms:syncedQuestionId>
        <xlmsforms:syncedQuestionId>rde82c5149b854466ac15701e44aa7a61</xlmsforms:syncedQuestionId>
        <xlmsforms:syncedQuestionId>ra1d040f7643246b8ba029938eff73da3</xlmsforms:syncedQuestionId>
        <xlmsforms:syncedQuestionId>r12152fbf826a4605ab0b4377e551e12d</xlmsforms:syncedQuestionId>
        <xlmsforms:syncedQuestionId>r5152cd71d3af4f949d84d7414cbcbab7</xlmsforms:syncedQuestionId>
        <xlmsforms:syncedQuestionId>ra133f88879b24e7380fe6efbdde60831</xlmsforms:syncedQuestionId>
        <xlmsforms:syncedQuestionId>r15da2f114573407aa7829376e48b042b</xlmsforms:syncedQuestionId>
        <xlmsforms:syncedQuestionId>r3537461e099846d7afc29770b1ffa122</xlmsforms:syncedQuestionId>
        <xlmsforms:syncedQuestionId>r81769e392eb84de3a9b7332340f48606</xlmsforms:syncedQuestionId>
        <xlmsforms:syncedQuestionId>rd408dfac3c54430ba543d20b3d24a558</xlmsforms:syncedQuestionId>
        <xlmsforms:syncedQuestionId>r95234780131248b792ee80eefd4e5267</xlmsforms:syncedQuestionId>
        <xlmsforms:syncedQuestionId>rb5d2acb4ec8540fc90c946c23d4eeacd</xlmsforms:syncedQuestionId>
        <xlmsforms:syncedQuestionId>r948fb303b4a445b8b1f80c1cb03391d1</xlmsforms:syncedQuestionId>
        <xlmsforms:syncedQuestionId>rdb2ccc7202a742e08204f211a780c83b</xlmsforms:syncedQuestionId>
        <xlmsforms:syncedQuestionId>r0d15d33ed0cf49e4901fdcc212787a9e</xlmsforms:syncedQuestionId>
        <xlmsforms:syncedQuestionId>r249fb434c2cb460a9b1a5a55e1574a01</xlmsforms:syncedQuestionId>
        <xlmsforms:syncedQuestionId>ra689197a4dd84014aa27061c4bc827e5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4"/>
  <sheetViews>
    <sheetView zoomScale="40" zoomScaleNormal="40" workbookViewId="0">
      <selection activeCell="AA10" sqref="AA10"/>
    </sheetView>
  </sheetViews>
  <sheetFormatPr defaultRowHeight="14.75" x14ac:dyDescent="0.75"/>
  <cols>
    <col min="1" max="1" width="20" bestFit="1" customWidth="1"/>
    <col min="2" max="5" width="20" hidden="1" customWidth="1"/>
    <col min="6" max="23" width="20" bestFit="1" customWidth="1"/>
  </cols>
  <sheetData>
    <row r="1" spans="1:23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75">
      <c r="A2">
        <v>2</v>
      </c>
      <c r="B2" s="2"/>
      <c r="C2" s="2"/>
      <c r="D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39</v>
      </c>
      <c r="V2" t="s">
        <v>40</v>
      </c>
      <c r="W2" t="s">
        <v>41</v>
      </c>
    </row>
    <row r="3" spans="1:23" x14ac:dyDescent="0.75">
      <c r="A3">
        <v>3</v>
      </c>
      <c r="B3" s="2"/>
      <c r="C3" s="2"/>
      <c r="D3" t="s">
        <v>23</v>
      </c>
      <c r="F3" t="s">
        <v>42</v>
      </c>
      <c r="G3" t="s">
        <v>25</v>
      </c>
      <c r="H3" t="s">
        <v>43</v>
      </c>
      <c r="I3" t="s">
        <v>27</v>
      </c>
      <c r="J3" t="s">
        <v>28</v>
      </c>
      <c r="K3" t="s">
        <v>29</v>
      </c>
      <c r="L3" t="s">
        <v>30</v>
      </c>
      <c r="M3" t="s">
        <v>44</v>
      </c>
      <c r="N3" t="s">
        <v>45</v>
      </c>
      <c r="O3" t="s">
        <v>33</v>
      </c>
      <c r="P3" t="s">
        <v>34</v>
      </c>
      <c r="Q3" t="s">
        <v>35</v>
      </c>
      <c r="R3" t="s">
        <v>46</v>
      </c>
      <c r="S3" t="s">
        <v>47</v>
      </c>
      <c r="T3" t="s">
        <v>38</v>
      </c>
      <c r="U3" t="s">
        <v>48</v>
      </c>
      <c r="V3" t="s">
        <v>40</v>
      </c>
      <c r="W3" t="s">
        <v>49</v>
      </c>
    </row>
    <row r="4" spans="1:23" x14ac:dyDescent="0.75">
      <c r="A4">
        <v>4</v>
      </c>
      <c r="B4" s="2"/>
      <c r="C4" s="2"/>
      <c r="D4" t="s">
        <v>23</v>
      </c>
      <c r="F4" t="s">
        <v>42</v>
      </c>
      <c r="G4" t="s">
        <v>25</v>
      </c>
      <c r="H4" t="s">
        <v>50</v>
      </c>
      <c r="I4" t="s">
        <v>27</v>
      </c>
      <c r="J4" t="s">
        <v>28</v>
      </c>
      <c r="K4" t="s">
        <v>29</v>
      </c>
      <c r="L4" t="s">
        <v>51</v>
      </c>
      <c r="M4" t="s">
        <v>44</v>
      </c>
      <c r="N4" t="s">
        <v>52</v>
      </c>
      <c r="O4" t="s">
        <v>53</v>
      </c>
      <c r="P4" t="s">
        <v>54</v>
      </c>
      <c r="Q4" t="s">
        <v>54</v>
      </c>
      <c r="R4" t="s">
        <v>36</v>
      </c>
      <c r="S4" t="s">
        <v>47</v>
      </c>
      <c r="T4" t="s">
        <v>55</v>
      </c>
      <c r="U4" t="s">
        <v>39</v>
      </c>
      <c r="V4" t="s">
        <v>40</v>
      </c>
      <c r="W4" t="s">
        <v>49</v>
      </c>
    </row>
    <row r="5" spans="1:23" x14ac:dyDescent="0.75">
      <c r="A5">
        <v>5</v>
      </c>
      <c r="B5" s="2"/>
      <c r="C5" s="2"/>
      <c r="D5" t="s">
        <v>23</v>
      </c>
      <c r="F5" t="s">
        <v>56</v>
      </c>
      <c r="G5" t="s">
        <v>25</v>
      </c>
      <c r="H5" t="s">
        <v>26</v>
      </c>
      <c r="I5" t="s">
        <v>57</v>
      </c>
      <c r="J5" t="s">
        <v>58</v>
      </c>
      <c r="K5" t="s">
        <v>59</v>
      </c>
      <c r="L5" t="s">
        <v>51</v>
      </c>
      <c r="M5" t="s">
        <v>60</v>
      </c>
      <c r="N5" t="s">
        <v>52</v>
      </c>
      <c r="O5" t="s">
        <v>61</v>
      </c>
      <c r="P5" t="s">
        <v>62</v>
      </c>
      <c r="Q5" t="s">
        <v>62</v>
      </c>
      <c r="R5" t="s">
        <v>36</v>
      </c>
      <c r="S5" t="s">
        <v>63</v>
      </c>
      <c r="T5" t="s">
        <v>55</v>
      </c>
      <c r="U5" t="s">
        <v>48</v>
      </c>
      <c r="V5" t="s">
        <v>64</v>
      </c>
      <c r="W5" t="s">
        <v>65</v>
      </c>
    </row>
    <row r="6" spans="1:23" x14ac:dyDescent="0.75">
      <c r="A6">
        <v>6</v>
      </c>
      <c r="B6" s="2"/>
      <c r="C6" s="2"/>
      <c r="D6" t="s">
        <v>23</v>
      </c>
      <c r="F6" t="s">
        <v>56</v>
      </c>
      <c r="G6" t="s">
        <v>66</v>
      </c>
      <c r="H6" t="s">
        <v>67</v>
      </c>
      <c r="I6" t="s">
        <v>57</v>
      </c>
      <c r="J6" t="s">
        <v>28</v>
      </c>
      <c r="K6" t="s">
        <v>68</v>
      </c>
      <c r="L6" t="s">
        <v>69</v>
      </c>
      <c r="M6" t="s">
        <v>70</v>
      </c>
      <c r="N6" t="s">
        <v>52</v>
      </c>
      <c r="O6" t="s">
        <v>53</v>
      </c>
      <c r="P6" t="s">
        <v>62</v>
      </c>
      <c r="Q6" t="s">
        <v>62</v>
      </c>
      <c r="R6" t="s">
        <v>71</v>
      </c>
      <c r="S6" t="s">
        <v>37</v>
      </c>
      <c r="T6" t="s">
        <v>38</v>
      </c>
      <c r="U6" t="s">
        <v>39</v>
      </c>
      <c r="V6" t="s">
        <v>40</v>
      </c>
      <c r="W6" t="s">
        <v>41</v>
      </c>
    </row>
    <row r="7" spans="1:23" x14ac:dyDescent="0.75">
      <c r="A7">
        <v>7</v>
      </c>
      <c r="B7" s="2"/>
      <c r="C7" s="2"/>
      <c r="D7" t="s">
        <v>23</v>
      </c>
      <c r="F7" t="s">
        <v>24</v>
      </c>
      <c r="G7" t="s">
        <v>25</v>
      </c>
      <c r="H7" t="s">
        <v>50</v>
      </c>
      <c r="I7" t="s">
        <v>27</v>
      </c>
      <c r="J7" t="s">
        <v>72</v>
      </c>
      <c r="K7" t="s">
        <v>73</v>
      </c>
      <c r="L7" t="s">
        <v>51</v>
      </c>
      <c r="M7" t="s">
        <v>44</v>
      </c>
      <c r="N7" t="s">
        <v>52</v>
      </c>
      <c r="O7" t="s">
        <v>53</v>
      </c>
      <c r="P7" t="s">
        <v>35</v>
      </c>
      <c r="Q7" t="s">
        <v>35</v>
      </c>
      <c r="R7" t="s">
        <v>36</v>
      </c>
      <c r="S7" t="s">
        <v>37</v>
      </c>
      <c r="T7" t="s">
        <v>55</v>
      </c>
      <c r="U7" t="s">
        <v>39</v>
      </c>
      <c r="V7" t="s">
        <v>40</v>
      </c>
      <c r="W7" t="s">
        <v>74</v>
      </c>
    </row>
    <row r="8" spans="1:23" x14ac:dyDescent="0.75">
      <c r="A8">
        <v>8</v>
      </c>
      <c r="B8" s="2"/>
      <c r="C8" s="2"/>
      <c r="D8" t="s">
        <v>23</v>
      </c>
      <c r="F8" t="s">
        <v>42</v>
      </c>
      <c r="G8" t="s">
        <v>25</v>
      </c>
      <c r="H8" t="s">
        <v>26</v>
      </c>
      <c r="I8" t="s">
        <v>57</v>
      </c>
      <c r="J8" t="s">
        <v>58</v>
      </c>
      <c r="K8" t="s">
        <v>59</v>
      </c>
      <c r="L8" t="s">
        <v>30</v>
      </c>
      <c r="M8" t="s">
        <v>70</v>
      </c>
      <c r="N8" t="s">
        <v>45</v>
      </c>
      <c r="O8" t="s">
        <v>53</v>
      </c>
      <c r="P8" t="s">
        <v>54</v>
      </c>
      <c r="Q8" t="s">
        <v>54</v>
      </c>
      <c r="R8" t="s">
        <v>36</v>
      </c>
      <c r="S8" t="s">
        <v>75</v>
      </c>
      <c r="T8" t="s">
        <v>38</v>
      </c>
      <c r="U8" t="s">
        <v>39</v>
      </c>
      <c r="V8" t="s">
        <v>64</v>
      </c>
    </row>
    <row r="9" spans="1:23" x14ac:dyDescent="0.75">
      <c r="A9">
        <v>9</v>
      </c>
      <c r="B9" s="2"/>
      <c r="C9" s="2"/>
      <c r="D9" t="s">
        <v>23</v>
      </c>
      <c r="F9" t="s">
        <v>42</v>
      </c>
      <c r="G9" t="s">
        <v>25</v>
      </c>
      <c r="H9" t="s">
        <v>26</v>
      </c>
      <c r="I9" t="s">
        <v>57</v>
      </c>
      <c r="J9" t="s">
        <v>72</v>
      </c>
      <c r="K9" t="s">
        <v>29</v>
      </c>
      <c r="L9" t="s">
        <v>76</v>
      </c>
      <c r="M9" t="s">
        <v>70</v>
      </c>
      <c r="N9" t="s">
        <v>32</v>
      </c>
      <c r="O9" t="s">
        <v>33</v>
      </c>
      <c r="P9" t="s">
        <v>34</v>
      </c>
      <c r="Q9" t="s">
        <v>77</v>
      </c>
      <c r="R9" t="s">
        <v>78</v>
      </c>
      <c r="S9" t="s">
        <v>79</v>
      </c>
      <c r="T9" t="s">
        <v>80</v>
      </c>
      <c r="U9" t="s">
        <v>48</v>
      </c>
      <c r="V9" t="s">
        <v>64</v>
      </c>
      <c r="W9" t="s">
        <v>65</v>
      </c>
    </row>
    <row r="10" spans="1:23" x14ac:dyDescent="0.75">
      <c r="A10">
        <v>10</v>
      </c>
      <c r="B10" s="2"/>
      <c r="C10" s="2"/>
      <c r="D10" t="s">
        <v>23</v>
      </c>
      <c r="F10" t="s">
        <v>42</v>
      </c>
      <c r="G10" t="s">
        <v>25</v>
      </c>
      <c r="H10" t="s">
        <v>50</v>
      </c>
      <c r="I10" t="s">
        <v>27</v>
      </c>
      <c r="J10" t="s">
        <v>28</v>
      </c>
      <c r="K10" t="s">
        <v>29</v>
      </c>
      <c r="L10" t="s">
        <v>51</v>
      </c>
      <c r="M10" t="s">
        <v>44</v>
      </c>
      <c r="N10" t="s">
        <v>52</v>
      </c>
      <c r="O10" t="s">
        <v>53</v>
      </c>
      <c r="P10" t="s">
        <v>35</v>
      </c>
      <c r="Q10" t="s">
        <v>35</v>
      </c>
      <c r="R10" t="s">
        <v>46</v>
      </c>
      <c r="S10" t="s">
        <v>47</v>
      </c>
      <c r="T10" t="s">
        <v>80</v>
      </c>
      <c r="U10" t="s">
        <v>48</v>
      </c>
      <c r="V10" t="s">
        <v>40</v>
      </c>
      <c r="W10" t="s">
        <v>49</v>
      </c>
    </row>
    <row r="11" spans="1:23" x14ac:dyDescent="0.75">
      <c r="A11">
        <v>11</v>
      </c>
      <c r="B11" s="2"/>
      <c r="C11" s="2"/>
      <c r="D11" t="s">
        <v>23</v>
      </c>
      <c r="F11" t="s">
        <v>56</v>
      </c>
      <c r="G11" t="s">
        <v>25</v>
      </c>
      <c r="H11" t="s">
        <v>50</v>
      </c>
      <c r="I11" t="s">
        <v>27</v>
      </c>
      <c r="J11" t="s">
        <v>28</v>
      </c>
      <c r="K11" t="s">
        <v>81</v>
      </c>
      <c r="L11" t="s">
        <v>51</v>
      </c>
      <c r="M11" t="s">
        <v>60</v>
      </c>
      <c r="N11" t="s">
        <v>32</v>
      </c>
      <c r="O11" t="s">
        <v>82</v>
      </c>
      <c r="P11" t="s">
        <v>35</v>
      </c>
      <c r="Q11" t="s">
        <v>35</v>
      </c>
      <c r="R11" t="s">
        <v>36</v>
      </c>
      <c r="S11" t="s">
        <v>75</v>
      </c>
      <c r="T11" t="s">
        <v>80</v>
      </c>
      <c r="U11" t="s">
        <v>83</v>
      </c>
      <c r="V11" t="s">
        <v>64</v>
      </c>
      <c r="W11" t="s">
        <v>65</v>
      </c>
    </row>
    <row r="12" spans="1:23" x14ac:dyDescent="0.75">
      <c r="A12">
        <v>12</v>
      </c>
      <c r="B12" s="2"/>
      <c r="C12" s="2"/>
      <c r="D12" t="s">
        <v>23</v>
      </c>
      <c r="F12" t="s">
        <v>42</v>
      </c>
      <c r="G12" t="s">
        <v>25</v>
      </c>
      <c r="H12" t="s">
        <v>50</v>
      </c>
      <c r="I12" t="s">
        <v>27</v>
      </c>
      <c r="J12" t="s">
        <v>72</v>
      </c>
      <c r="K12" t="s">
        <v>81</v>
      </c>
      <c r="L12" t="s">
        <v>30</v>
      </c>
      <c r="M12" t="s">
        <v>60</v>
      </c>
      <c r="N12" t="s">
        <v>45</v>
      </c>
      <c r="O12" t="s">
        <v>33</v>
      </c>
      <c r="P12" t="s">
        <v>34</v>
      </c>
      <c r="Q12" t="s">
        <v>35</v>
      </c>
      <c r="R12" t="s">
        <v>46</v>
      </c>
      <c r="S12" t="s">
        <v>47</v>
      </c>
      <c r="T12" t="s">
        <v>80</v>
      </c>
      <c r="U12" t="s">
        <v>48</v>
      </c>
      <c r="V12" t="s">
        <v>84</v>
      </c>
      <c r="W12" t="s">
        <v>85</v>
      </c>
    </row>
    <row r="13" spans="1:23" x14ac:dyDescent="0.75">
      <c r="A13">
        <v>13</v>
      </c>
      <c r="B13" s="2"/>
      <c r="C13" s="2"/>
      <c r="D13" t="s">
        <v>23</v>
      </c>
      <c r="F13" t="s">
        <v>42</v>
      </c>
      <c r="G13" t="s">
        <v>25</v>
      </c>
      <c r="H13" t="s">
        <v>26</v>
      </c>
      <c r="I13" t="s">
        <v>86</v>
      </c>
      <c r="J13" t="s">
        <v>87</v>
      </c>
      <c r="K13" t="s">
        <v>59</v>
      </c>
      <c r="L13" t="s">
        <v>30</v>
      </c>
      <c r="M13" t="s">
        <v>88</v>
      </c>
      <c r="N13" t="s">
        <v>45</v>
      </c>
      <c r="O13" t="s">
        <v>61</v>
      </c>
      <c r="P13" t="s">
        <v>34</v>
      </c>
      <c r="Q13" t="s">
        <v>34</v>
      </c>
      <c r="R13" t="s">
        <v>78</v>
      </c>
      <c r="S13" t="s">
        <v>63</v>
      </c>
      <c r="T13" t="s">
        <v>55</v>
      </c>
      <c r="U13" t="s">
        <v>89</v>
      </c>
      <c r="V13" t="s">
        <v>64</v>
      </c>
    </row>
    <row r="14" spans="1:23" x14ac:dyDescent="0.75">
      <c r="A14">
        <v>14</v>
      </c>
      <c r="B14" s="2"/>
      <c r="C14" s="2"/>
      <c r="D14" t="s">
        <v>23</v>
      </c>
      <c r="F14" t="s">
        <v>56</v>
      </c>
      <c r="G14" t="s">
        <v>25</v>
      </c>
      <c r="H14" t="s">
        <v>26</v>
      </c>
      <c r="I14" t="s">
        <v>27</v>
      </c>
      <c r="J14" t="s">
        <v>72</v>
      </c>
      <c r="K14" t="s">
        <v>81</v>
      </c>
      <c r="L14" t="s">
        <v>51</v>
      </c>
      <c r="M14" t="s">
        <v>31</v>
      </c>
      <c r="N14" t="s">
        <v>52</v>
      </c>
      <c r="O14" t="s">
        <v>53</v>
      </c>
      <c r="P14" t="s">
        <v>35</v>
      </c>
      <c r="Q14" t="s">
        <v>35</v>
      </c>
      <c r="R14" t="s">
        <v>46</v>
      </c>
      <c r="S14" t="s">
        <v>63</v>
      </c>
      <c r="T14" t="s">
        <v>80</v>
      </c>
      <c r="U14" t="s">
        <v>39</v>
      </c>
      <c r="V14" t="s">
        <v>40</v>
      </c>
      <c r="W14" t="s">
        <v>49</v>
      </c>
    </row>
    <row r="15" spans="1:23" x14ac:dyDescent="0.75">
      <c r="A15">
        <v>15</v>
      </c>
      <c r="B15" s="2"/>
      <c r="C15" s="2"/>
      <c r="D15" t="s">
        <v>23</v>
      </c>
      <c r="F15" t="s">
        <v>42</v>
      </c>
      <c r="G15" t="s">
        <v>25</v>
      </c>
      <c r="H15" t="s">
        <v>26</v>
      </c>
      <c r="I15" t="s">
        <v>27</v>
      </c>
      <c r="J15" t="s">
        <v>28</v>
      </c>
      <c r="K15" t="s">
        <v>29</v>
      </c>
      <c r="L15" t="s">
        <v>51</v>
      </c>
      <c r="M15" t="s">
        <v>70</v>
      </c>
      <c r="N15" t="s">
        <v>90</v>
      </c>
      <c r="O15" t="s">
        <v>82</v>
      </c>
      <c r="P15" t="s">
        <v>35</v>
      </c>
      <c r="Q15" t="s">
        <v>35</v>
      </c>
      <c r="R15" t="s">
        <v>46</v>
      </c>
      <c r="S15" t="s">
        <v>75</v>
      </c>
      <c r="T15" t="s">
        <v>80</v>
      </c>
      <c r="U15" t="s">
        <v>39</v>
      </c>
      <c r="V15" t="s">
        <v>64</v>
      </c>
      <c r="W15" t="s">
        <v>65</v>
      </c>
    </row>
    <row r="16" spans="1:23" x14ac:dyDescent="0.75">
      <c r="A16">
        <v>16</v>
      </c>
      <c r="B16" s="2"/>
      <c r="C16" s="2"/>
      <c r="D16" t="s">
        <v>23</v>
      </c>
      <c r="F16" t="s">
        <v>42</v>
      </c>
      <c r="G16" t="s">
        <v>25</v>
      </c>
      <c r="H16" t="s">
        <v>50</v>
      </c>
      <c r="I16" t="s">
        <v>57</v>
      </c>
      <c r="J16" t="s">
        <v>58</v>
      </c>
      <c r="K16" t="s">
        <v>59</v>
      </c>
      <c r="L16" t="s">
        <v>30</v>
      </c>
      <c r="M16" t="s">
        <v>70</v>
      </c>
      <c r="N16" t="s">
        <v>52</v>
      </c>
      <c r="O16" t="s">
        <v>53</v>
      </c>
      <c r="P16" t="s">
        <v>62</v>
      </c>
      <c r="Q16" t="s">
        <v>54</v>
      </c>
      <c r="R16" t="s">
        <v>36</v>
      </c>
      <c r="S16" t="s">
        <v>63</v>
      </c>
      <c r="T16" t="s">
        <v>38</v>
      </c>
      <c r="U16" t="s">
        <v>48</v>
      </c>
      <c r="V16" t="s">
        <v>64</v>
      </c>
      <c r="W16" t="s">
        <v>65</v>
      </c>
    </row>
    <row r="17" spans="1:23" x14ac:dyDescent="0.75">
      <c r="A17">
        <v>17</v>
      </c>
      <c r="B17" s="2"/>
      <c r="C17" s="2"/>
      <c r="D17" t="s">
        <v>23</v>
      </c>
      <c r="F17" t="s">
        <v>42</v>
      </c>
      <c r="G17" t="s">
        <v>25</v>
      </c>
      <c r="H17" t="s">
        <v>26</v>
      </c>
      <c r="I17" t="s">
        <v>57</v>
      </c>
      <c r="J17" t="s">
        <v>58</v>
      </c>
      <c r="K17" t="s">
        <v>59</v>
      </c>
      <c r="L17" t="s">
        <v>51</v>
      </c>
      <c r="M17" t="s">
        <v>70</v>
      </c>
      <c r="N17" t="s">
        <v>32</v>
      </c>
      <c r="O17" t="s">
        <v>82</v>
      </c>
      <c r="P17" t="s">
        <v>35</v>
      </c>
      <c r="Q17" t="s">
        <v>34</v>
      </c>
      <c r="R17" t="s">
        <v>46</v>
      </c>
      <c r="S17" t="s">
        <v>63</v>
      </c>
      <c r="T17" t="s">
        <v>55</v>
      </c>
      <c r="U17" t="s">
        <v>39</v>
      </c>
      <c r="V17" t="s">
        <v>64</v>
      </c>
      <c r="W17" t="s">
        <v>65</v>
      </c>
    </row>
    <row r="18" spans="1:23" x14ac:dyDescent="0.75">
      <c r="A18">
        <v>18</v>
      </c>
      <c r="B18" s="2"/>
      <c r="C18" s="2"/>
      <c r="D18" t="s">
        <v>23</v>
      </c>
      <c r="F18" t="s">
        <v>24</v>
      </c>
      <c r="G18" t="s">
        <v>91</v>
      </c>
      <c r="H18" t="s">
        <v>26</v>
      </c>
      <c r="I18" t="s">
        <v>92</v>
      </c>
      <c r="J18" t="s">
        <v>87</v>
      </c>
      <c r="K18" t="s">
        <v>93</v>
      </c>
      <c r="L18" t="s">
        <v>30</v>
      </c>
      <c r="M18" t="s">
        <v>94</v>
      </c>
      <c r="N18" t="s">
        <v>32</v>
      </c>
      <c r="O18" t="s">
        <v>53</v>
      </c>
      <c r="P18" t="s">
        <v>35</v>
      </c>
      <c r="Q18" t="s">
        <v>35</v>
      </c>
      <c r="R18" t="s">
        <v>36</v>
      </c>
      <c r="S18" t="s">
        <v>75</v>
      </c>
      <c r="T18" t="s">
        <v>80</v>
      </c>
      <c r="U18" t="s">
        <v>39</v>
      </c>
      <c r="V18" t="s">
        <v>95</v>
      </c>
      <c r="W18" t="s">
        <v>49</v>
      </c>
    </row>
    <row r="19" spans="1:23" x14ac:dyDescent="0.75">
      <c r="A19">
        <v>19</v>
      </c>
      <c r="B19" s="2"/>
      <c r="C19" s="2"/>
      <c r="D19" t="s">
        <v>23</v>
      </c>
      <c r="F19" t="s">
        <v>24</v>
      </c>
      <c r="G19" t="s">
        <v>96</v>
      </c>
      <c r="H19" t="s">
        <v>26</v>
      </c>
      <c r="I19" t="s">
        <v>92</v>
      </c>
      <c r="J19" t="s">
        <v>87</v>
      </c>
      <c r="K19" t="s">
        <v>97</v>
      </c>
      <c r="L19" t="s">
        <v>76</v>
      </c>
      <c r="M19" t="s">
        <v>94</v>
      </c>
      <c r="N19" t="s">
        <v>52</v>
      </c>
      <c r="O19" t="s">
        <v>82</v>
      </c>
      <c r="P19" t="s">
        <v>35</v>
      </c>
      <c r="Q19" t="s">
        <v>35</v>
      </c>
      <c r="R19" t="s">
        <v>36</v>
      </c>
      <c r="S19" t="s">
        <v>63</v>
      </c>
      <c r="T19" t="s">
        <v>55</v>
      </c>
      <c r="U19" t="s">
        <v>39</v>
      </c>
      <c r="V19" t="s">
        <v>40</v>
      </c>
      <c r="W19" t="s">
        <v>85</v>
      </c>
    </row>
    <row r="20" spans="1:23" x14ac:dyDescent="0.75">
      <c r="A20">
        <v>20</v>
      </c>
      <c r="B20" s="2"/>
      <c r="C20" s="2"/>
      <c r="D20" t="s">
        <v>23</v>
      </c>
      <c r="F20" t="s">
        <v>98</v>
      </c>
      <c r="G20" t="s">
        <v>96</v>
      </c>
      <c r="H20" t="s">
        <v>50</v>
      </c>
      <c r="I20" t="s">
        <v>27</v>
      </c>
      <c r="J20" t="s">
        <v>28</v>
      </c>
      <c r="K20" t="s">
        <v>29</v>
      </c>
      <c r="L20" t="s">
        <v>30</v>
      </c>
      <c r="M20" t="s">
        <v>99</v>
      </c>
      <c r="N20" t="s">
        <v>52</v>
      </c>
      <c r="O20" t="s">
        <v>82</v>
      </c>
      <c r="P20" t="s">
        <v>54</v>
      </c>
      <c r="Q20" t="s">
        <v>54</v>
      </c>
      <c r="R20" t="s">
        <v>36</v>
      </c>
      <c r="S20" t="s">
        <v>75</v>
      </c>
      <c r="T20" t="s">
        <v>80</v>
      </c>
      <c r="U20" t="s">
        <v>39</v>
      </c>
      <c r="V20" t="s">
        <v>40</v>
      </c>
      <c r="W20" t="s">
        <v>49</v>
      </c>
    </row>
    <row r="21" spans="1:23" x14ac:dyDescent="0.75">
      <c r="A21">
        <v>21</v>
      </c>
      <c r="B21" s="2"/>
      <c r="C21" s="2"/>
      <c r="D21" t="s">
        <v>23</v>
      </c>
      <c r="F21" t="s">
        <v>24</v>
      </c>
      <c r="G21" t="s">
        <v>25</v>
      </c>
      <c r="H21" t="s">
        <v>26</v>
      </c>
      <c r="I21" t="s">
        <v>27</v>
      </c>
      <c r="J21" t="s">
        <v>28</v>
      </c>
      <c r="K21" t="s">
        <v>29</v>
      </c>
      <c r="L21" t="s">
        <v>51</v>
      </c>
      <c r="M21" t="s">
        <v>94</v>
      </c>
      <c r="N21" t="s">
        <v>32</v>
      </c>
      <c r="O21" t="s">
        <v>33</v>
      </c>
      <c r="P21" t="s">
        <v>100</v>
      </c>
      <c r="Q21" t="s">
        <v>100</v>
      </c>
      <c r="R21" t="s">
        <v>46</v>
      </c>
      <c r="S21" t="s">
        <v>37</v>
      </c>
      <c r="T21" t="s">
        <v>80</v>
      </c>
      <c r="U21" t="s">
        <v>48</v>
      </c>
      <c r="V21" t="s">
        <v>40</v>
      </c>
      <c r="W21" t="s">
        <v>49</v>
      </c>
    </row>
    <row r="22" spans="1:23" x14ac:dyDescent="0.75">
      <c r="A22">
        <v>22</v>
      </c>
      <c r="B22" s="2"/>
      <c r="C22" s="2"/>
      <c r="D22" t="s">
        <v>23</v>
      </c>
      <c r="F22" t="s">
        <v>42</v>
      </c>
      <c r="G22" t="s">
        <v>25</v>
      </c>
      <c r="H22" t="s">
        <v>50</v>
      </c>
      <c r="I22" t="s">
        <v>27</v>
      </c>
      <c r="J22" t="s">
        <v>28</v>
      </c>
      <c r="K22" t="s">
        <v>81</v>
      </c>
      <c r="L22" t="s">
        <v>30</v>
      </c>
      <c r="M22" t="s">
        <v>70</v>
      </c>
      <c r="N22" t="s">
        <v>52</v>
      </c>
      <c r="O22" t="s">
        <v>53</v>
      </c>
      <c r="P22" t="s">
        <v>54</v>
      </c>
      <c r="Q22" t="s">
        <v>54</v>
      </c>
      <c r="R22" t="s">
        <v>36</v>
      </c>
      <c r="S22" t="s">
        <v>63</v>
      </c>
      <c r="T22" t="s">
        <v>38</v>
      </c>
      <c r="U22" t="s">
        <v>101</v>
      </c>
      <c r="V22" t="s">
        <v>64</v>
      </c>
      <c r="W22" t="s">
        <v>65</v>
      </c>
    </row>
    <row r="23" spans="1:23" x14ac:dyDescent="0.75">
      <c r="A23">
        <v>23</v>
      </c>
      <c r="B23" s="2"/>
      <c r="C23" s="2"/>
      <c r="D23" t="s">
        <v>23</v>
      </c>
      <c r="F23" t="s">
        <v>42</v>
      </c>
      <c r="G23" t="s">
        <v>25</v>
      </c>
      <c r="H23" t="s">
        <v>26</v>
      </c>
      <c r="I23" t="s">
        <v>27</v>
      </c>
      <c r="J23" t="s">
        <v>28</v>
      </c>
      <c r="K23" t="s">
        <v>102</v>
      </c>
      <c r="L23" t="s">
        <v>30</v>
      </c>
      <c r="M23" t="s">
        <v>60</v>
      </c>
      <c r="N23" t="s">
        <v>45</v>
      </c>
      <c r="O23" t="s">
        <v>82</v>
      </c>
      <c r="P23" t="s">
        <v>54</v>
      </c>
      <c r="Q23" t="s">
        <v>54</v>
      </c>
      <c r="R23" t="s">
        <v>36</v>
      </c>
      <c r="S23" t="s">
        <v>63</v>
      </c>
      <c r="T23" t="s">
        <v>38</v>
      </c>
      <c r="U23" t="s">
        <v>101</v>
      </c>
      <c r="V23" t="s">
        <v>40</v>
      </c>
      <c r="W23" t="s">
        <v>41</v>
      </c>
    </row>
    <row r="24" spans="1:23" x14ac:dyDescent="0.75">
      <c r="A24">
        <v>24</v>
      </c>
      <c r="B24" s="2"/>
      <c r="C24" s="2"/>
      <c r="D24" t="s">
        <v>23</v>
      </c>
      <c r="F24" t="s">
        <v>103</v>
      </c>
      <c r="G24" t="s">
        <v>25</v>
      </c>
      <c r="H24" t="s">
        <v>26</v>
      </c>
      <c r="I24" t="s">
        <v>27</v>
      </c>
      <c r="J24" t="s">
        <v>28</v>
      </c>
      <c r="K24" t="s">
        <v>29</v>
      </c>
      <c r="L24" t="s">
        <v>30</v>
      </c>
      <c r="M24" t="s">
        <v>70</v>
      </c>
      <c r="N24" t="s">
        <v>90</v>
      </c>
      <c r="O24" t="s">
        <v>33</v>
      </c>
      <c r="P24" t="s">
        <v>34</v>
      </c>
      <c r="Q24" t="s">
        <v>34</v>
      </c>
      <c r="R24" t="s">
        <v>46</v>
      </c>
      <c r="S24" t="s">
        <v>63</v>
      </c>
      <c r="T24" t="s">
        <v>80</v>
      </c>
      <c r="U24" t="s">
        <v>48</v>
      </c>
      <c r="V24" t="s">
        <v>40</v>
      </c>
      <c r="W24" t="s">
        <v>85</v>
      </c>
    </row>
    <row r="25" spans="1:23" x14ac:dyDescent="0.75">
      <c r="A25">
        <v>25</v>
      </c>
      <c r="B25" s="2"/>
      <c r="C25" s="2"/>
      <c r="D25" t="s">
        <v>23</v>
      </c>
      <c r="F25" t="s">
        <v>24</v>
      </c>
      <c r="G25" t="s">
        <v>66</v>
      </c>
      <c r="H25" t="s">
        <v>26</v>
      </c>
      <c r="I25" t="s">
        <v>104</v>
      </c>
      <c r="J25" t="s">
        <v>87</v>
      </c>
      <c r="K25" t="s">
        <v>105</v>
      </c>
      <c r="L25" t="s">
        <v>30</v>
      </c>
      <c r="M25" t="s">
        <v>106</v>
      </c>
      <c r="N25" t="s">
        <v>45</v>
      </c>
      <c r="O25" t="s">
        <v>82</v>
      </c>
      <c r="P25" t="s">
        <v>54</v>
      </c>
      <c r="Q25" t="s">
        <v>54</v>
      </c>
      <c r="R25" t="s">
        <v>36</v>
      </c>
      <c r="S25" t="s">
        <v>75</v>
      </c>
      <c r="T25" t="s">
        <v>38</v>
      </c>
      <c r="U25" t="s">
        <v>39</v>
      </c>
      <c r="V25" t="s">
        <v>95</v>
      </c>
      <c r="W25" t="s">
        <v>49</v>
      </c>
    </row>
    <row r="26" spans="1:23" x14ac:dyDescent="0.75">
      <c r="A26">
        <v>26</v>
      </c>
      <c r="B26" s="2"/>
      <c r="C26" s="2"/>
      <c r="D26" t="s">
        <v>23</v>
      </c>
      <c r="F26" t="s">
        <v>42</v>
      </c>
      <c r="G26" t="s">
        <v>96</v>
      </c>
      <c r="H26" t="s">
        <v>26</v>
      </c>
      <c r="I26" t="s">
        <v>92</v>
      </c>
      <c r="J26" t="s">
        <v>107</v>
      </c>
      <c r="K26" t="s">
        <v>108</v>
      </c>
      <c r="L26" t="s">
        <v>69</v>
      </c>
      <c r="M26" t="s">
        <v>109</v>
      </c>
      <c r="N26" t="s">
        <v>52</v>
      </c>
      <c r="O26" t="s">
        <v>33</v>
      </c>
      <c r="P26" t="s">
        <v>77</v>
      </c>
      <c r="Q26" t="s">
        <v>34</v>
      </c>
      <c r="R26" t="s">
        <v>46</v>
      </c>
      <c r="S26" t="s">
        <v>37</v>
      </c>
      <c r="T26" t="s">
        <v>110</v>
      </c>
      <c r="U26" t="s">
        <v>83</v>
      </c>
      <c r="V26" t="s">
        <v>64</v>
      </c>
      <c r="W26" t="s">
        <v>65</v>
      </c>
    </row>
    <row r="27" spans="1:23" x14ac:dyDescent="0.75">
      <c r="A27">
        <v>27</v>
      </c>
      <c r="B27" s="2"/>
      <c r="C27" s="2"/>
      <c r="D27" t="s">
        <v>23</v>
      </c>
      <c r="F27" t="s">
        <v>42</v>
      </c>
      <c r="G27" t="s">
        <v>91</v>
      </c>
      <c r="H27" t="s">
        <v>43</v>
      </c>
      <c r="I27" t="s">
        <v>92</v>
      </c>
      <c r="J27" t="s">
        <v>111</v>
      </c>
      <c r="K27" t="s">
        <v>112</v>
      </c>
      <c r="L27" t="s">
        <v>51</v>
      </c>
      <c r="M27" t="s">
        <v>88</v>
      </c>
      <c r="N27" t="s">
        <v>32</v>
      </c>
      <c r="O27" t="s">
        <v>113</v>
      </c>
      <c r="P27" t="s">
        <v>62</v>
      </c>
      <c r="Q27" t="s">
        <v>62</v>
      </c>
      <c r="R27" t="s">
        <v>36</v>
      </c>
      <c r="S27" t="s">
        <v>47</v>
      </c>
      <c r="T27" t="s">
        <v>110</v>
      </c>
      <c r="U27" t="s">
        <v>101</v>
      </c>
      <c r="V27" t="s">
        <v>95</v>
      </c>
      <c r="W27" t="s">
        <v>74</v>
      </c>
    </row>
    <row r="28" spans="1:23" x14ac:dyDescent="0.75">
      <c r="A28">
        <v>28</v>
      </c>
      <c r="B28" s="2"/>
      <c r="C28" s="2"/>
      <c r="D28" t="s">
        <v>23</v>
      </c>
      <c r="F28" t="s">
        <v>56</v>
      </c>
      <c r="G28" t="s">
        <v>66</v>
      </c>
      <c r="H28" t="s">
        <v>67</v>
      </c>
      <c r="I28" t="s">
        <v>57</v>
      </c>
      <c r="J28" t="s">
        <v>58</v>
      </c>
      <c r="K28" t="s">
        <v>59</v>
      </c>
      <c r="L28" t="s">
        <v>30</v>
      </c>
      <c r="M28" t="s">
        <v>31</v>
      </c>
      <c r="N28" t="s">
        <v>45</v>
      </c>
      <c r="O28" t="s">
        <v>53</v>
      </c>
      <c r="P28" t="s">
        <v>54</v>
      </c>
      <c r="Q28" t="s">
        <v>62</v>
      </c>
      <c r="R28" t="s">
        <v>36</v>
      </c>
      <c r="S28" t="s">
        <v>79</v>
      </c>
      <c r="T28" t="s">
        <v>80</v>
      </c>
      <c r="U28" t="s">
        <v>101</v>
      </c>
      <c r="V28" t="s">
        <v>64</v>
      </c>
      <c r="W28" t="s">
        <v>65</v>
      </c>
    </row>
    <row r="29" spans="1:23" x14ac:dyDescent="0.75">
      <c r="A29">
        <v>29</v>
      </c>
      <c r="B29" s="2"/>
      <c r="C29" s="2"/>
      <c r="D29" t="s">
        <v>23</v>
      </c>
      <c r="F29" t="s">
        <v>98</v>
      </c>
      <c r="G29" t="s">
        <v>25</v>
      </c>
      <c r="H29" t="s">
        <v>50</v>
      </c>
      <c r="I29" t="s">
        <v>92</v>
      </c>
      <c r="J29" t="s">
        <v>28</v>
      </c>
      <c r="K29" t="s">
        <v>114</v>
      </c>
      <c r="L29" t="s">
        <v>30</v>
      </c>
      <c r="M29" t="s">
        <v>60</v>
      </c>
      <c r="N29" t="s">
        <v>90</v>
      </c>
      <c r="O29" t="s">
        <v>61</v>
      </c>
      <c r="P29" t="s">
        <v>54</v>
      </c>
      <c r="Q29" t="s">
        <v>54</v>
      </c>
      <c r="R29" t="s">
        <v>36</v>
      </c>
      <c r="S29" t="s">
        <v>63</v>
      </c>
      <c r="T29" t="s">
        <v>80</v>
      </c>
      <c r="U29" t="s">
        <v>39</v>
      </c>
      <c r="V29" t="s">
        <v>95</v>
      </c>
      <c r="W29" t="s">
        <v>49</v>
      </c>
    </row>
    <row r="30" spans="1:23" x14ac:dyDescent="0.75">
      <c r="A30">
        <v>30</v>
      </c>
      <c r="B30" s="2"/>
      <c r="C30" s="2"/>
      <c r="D30" t="s">
        <v>23</v>
      </c>
      <c r="F30" t="s">
        <v>42</v>
      </c>
      <c r="G30" t="s">
        <v>91</v>
      </c>
      <c r="H30" t="s">
        <v>50</v>
      </c>
      <c r="I30" t="s">
        <v>104</v>
      </c>
      <c r="J30" t="s">
        <v>107</v>
      </c>
      <c r="K30" t="s">
        <v>115</v>
      </c>
      <c r="L30" t="s">
        <v>69</v>
      </c>
      <c r="M30" t="s">
        <v>106</v>
      </c>
      <c r="N30" t="s">
        <v>32</v>
      </c>
      <c r="O30" t="s">
        <v>82</v>
      </c>
      <c r="P30" t="s">
        <v>34</v>
      </c>
      <c r="Q30" t="s">
        <v>34</v>
      </c>
      <c r="R30" t="s">
        <v>36</v>
      </c>
      <c r="S30" t="s">
        <v>47</v>
      </c>
      <c r="T30" t="s">
        <v>110</v>
      </c>
      <c r="U30" t="s">
        <v>39</v>
      </c>
      <c r="V30" t="s">
        <v>95</v>
      </c>
      <c r="W30" t="s">
        <v>49</v>
      </c>
    </row>
    <row r="31" spans="1:23" x14ac:dyDescent="0.75">
      <c r="A31">
        <v>31</v>
      </c>
      <c r="B31" s="2"/>
      <c r="C31" s="2"/>
      <c r="D31" t="s">
        <v>23</v>
      </c>
      <c r="F31" t="s">
        <v>103</v>
      </c>
      <c r="G31" t="s">
        <v>66</v>
      </c>
      <c r="H31" t="s">
        <v>50</v>
      </c>
      <c r="I31" t="s">
        <v>104</v>
      </c>
      <c r="J31" t="s">
        <v>72</v>
      </c>
      <c r="K31" t="s">
        <v>81</v>
      </c>
      <c r="L31" t="s">
        <v>76</v>
      </c>
      <c r="M31" t="s">
        <v>94</v>
      </c>
      <c r="N31" t="s">
        <v>32</v>
      </c>
      <c r="O31" t="s">
        <v>33</v>
      </c>
      <c r="P31" t="s">
        <v>54</v>
      </c>
      <c r="Q31" t="s">
        <v>62</v>
      </c>
      <c r="R31" t="s">
        <v>36</v>
      </c>
      <c r="S31" t="s">
        <v>75</v>
      </c>
      <c r="T31" t="s">
        <v>38</v>
      </c>
      <c r="U31" t="s">
        <v>83</v>
      </c>
      <c r="V31" t="s">
        <v>95</v>
      </c>
      <c r="W31" t="s">
        <v>41</v>
      </c>
    </row>
    <row r="32" spans="1:23" x14ac:dyDescent="0.75">
      <c r="A32">
        <v>32</v>
      </c>
      <c r="B32" s="2"/>
      <c r="C32" s="2"/>
      <c r="D32" t="s">
        <v>23</v>
      </c>
      <c r="F32" t="s">
        <v>103</v>
      </c>
      <c r="G32" t="s">
        <v>91</v>
      </c>
      <c r="H32" t="s">
        <v>43</v>
      </c>
      <c r="I32" t="s">
        <v>104</v>
      </c>
      <c r="J32" t="s">
        <v>107</v>
      </c>
      <c r="K32" t="s">
        <v>116</v>
      </c>
      <c r="L32" t="s">
        <v>69</v>
      </c>
      <c r="M32" t="s">
        <v>117</v>
      </c>
      <c r="N32" t="s">
        <v>32</v>
      </c>
      <c r="O32" t="s">
        <v>61</v>
      </c>
      <c r="P32" t="s">
        <v>54</v>
      </c>
      <c r="Q32" t="s">
        <v>62</v>
      </c>
      <c r="R32" t="s">
        <v>46</v>
      </c>
      <c r="S32" t="s">
        <v>79</v>
      </c>
      <c r="T32" t="s">
        <v>110</v>
      </c>
      <c r="U32" t="s">
        <v>39</v>
      </c>
      <c r="V32" t="s">
        <v>84</v>
      </c>
      <c r="W32" t="s">
        <v>41</v>
      </c>
    </row>
    <row r="33" spans="1:23" x14ac:dyDescent="0.75">
      <c r="A33">
        <v>33</v>
      </c>
      <c r="B33" s="2"/>
      <c r="C33" s="2"/>
      <c r="D33" t="s">
        <v>23</v>
      </c>
      <c r="F33" t="s">
        <v>24</v>
      </c>
      <c r="G33" t="s">
        <v>25</v>
      </c>
      <c r="H33" t="s">
        <v>26</v>
      </c>
      <c r="I33" t="s">
        <v>92</v>
      </c>
      <c r="J33" t="s">
        <v>72</v>
      </c>
      <c r="K33" t="s">
        <v>29</v>
      </c>
      <c r="L33" t="s">
        <v>30</v>
      </c>
      <c r="M33" t="s">
        <v>118</v>
      </c>
      <c r="N33" t="s">
        <v>45</v>
      </c>
      <c r="O33" t="s">
        <v>113</v>
      </c>
      <c r="P33" t="s">
        <v>119</v>
      </c>
      <c r="Q33" t="s">
        <v>119</v>
      </c>
      <c r="R33" t="s">
        <v>78</v>
      </c>
      <c r="S33" t="s">
        <v>47</v>
      </c>
      <c r="T33" t="s">
        <v>120</v>
      </c>
      <c r="U33" t="s">
        <v>89</v>
      </c>
      <c r="V33" t="s">
        <v>84</v>
      </c>
      <c r="W33" t="s">
        <v>121</v>
      </c>
    </row>
    <row r="34" spans="1:23" x14ac:dyDescent="0.75">
      <c r="A34">
        <v>34</v>
      </c>
      <c r="B34" s="2"/>
      <c r="C34" s="2"/>
      <c r="D34" t="s">
        <v>23</v>
      </c>
      <c r="F34" t="s">
        <v>42</v>
      </c>
      <c r="G34" t="s">
        <v>25</v>
      </c>
      <c r="H34" t="s">
        <v>50</v>
      </c>
      <c r="I34" t="s">
        <v>27</v>
      </c>
      <c r="J34" t="s">
        <v>28</v>
      </c>
      <c r="K34" t="s">
        <v>81</v>
      </c>
      <c r="L34" t="s">
        <v>30</v>
      </c>
      <c r="M34" t="s">
        <v>122</v>
      </c>
      <c r="N34" t="s">
        <v>32</v>
      </c>
      <c r="O34" t="s">
        <v>33</v>
      </c>
      <c r="P34" t="s">
        <v>62</v>
      </c>
      <c r="Q34" t="s">
        <v>62</v>
      </c>
      <c r="R34" t="s">
        <v>71</v>
      </c>
      <c r="S34" t="s">
        <v>47</v>
      </c>
      <c r="T34" t="s">
        <v>38</v>
      </c>
      <c r="U34" t="s">
        <v>101</v>
      </c>
      <c r="V34" t="s">
        <v>40</v>
      </c>
      <c r="W34" t="s">
        <v>41</v>
      </c>
    </row>
    <row r="35" spans="1:23" x14ac:dyDescent="0.75">
      <c r="A35">
        <v>35</v>
      </c>
      <c r="B35" s="2"/>
      <c r="C35" s="2"/>
      <c r="D35" t="s">
        <v>23</v>
      </c>
      <c r="F35" t="s">
        <v>24</v>
      </c>
      <c r="G35" t="s">
        <v>25</v>
      </c>
      <c r="H35" t="s">
        <v>50</v>
      </c>
      <c r="I35" t="s">
        <v>57</v>
      </c>
      <c r="J35" t="s">
        <v>58</v>
      </c>
      <c r="K35" t="s">
        <v>59</v>
      </c>
      <c r="L35" t="s">
        <v>30</v>
      </c>
      <c r="M35" t="s">
        <v>123</v>
      </c>
      <c r="N35" t="s">
        <v>45</v>
      </c>
      <c r="O35" t="s">
        <v>113</v>
      </c>
      <c r="P35" t="s">
        <v>35</v>
      </c>
      <c r="Q35" t="s">
        <v>35</v>
      </c>
      <c r="R35" t="s">
        <v>46</v>
      </c>
      <c r="S35" t="s">
        <v>63</v>
      </c>
      <c r="T35" t="s">
        <v>80</v>
      </c>
      <c r="U35" t="s">
        <v>39</v>
      </c>
      <c r="V35" t="s">
        <v>64</v>
      </c>
      <c r="W35" t="s">
        <v>65</v>
      </c>
    </row>
    <row r="36" spans="1:23" x14ac:dyDescent="0.75">
      <c r="A36">
        <v>36</v>
      </c>
      <c r="B36" s="2"/>
      <c r="C36" s="2"/>
      <c r="D36" t="s">
        <v>23</v>
      </c>
      <c r="F36" t="s">
        <v>42</v>
      </c>
      <c r="G36" t="s">
        <v>25</v>
      </c>
      <c r="H36" t="s">
        <v>50</v>
      </c>
      <c r="I36" t="s">
        <v>57</v>
      </c>
      <c r="J36" t="s">
        <v>58</v>
      </c>
      <c r="K36" t="s">
        <v>59</v>
      </c>
      <c r="L36" t="s">
        <v>30</v>
      </c>
      <c r="M36" t="s">
        <v>124</v>
      </c>
      <c r="N36" t="s">
        <v>52</v>
      </c>
      <c r="O36" t="s">
        <v>53</v>
      </c>
      <c r="P36" t="s">
        <v>54</v>
      </c>
      <c r="Q36" t="s">
        <v>54</v>
      </c>
      <c r="R36" t="s">
        <v>36</v>
      </c>
      <c r="S36" t="s">
        <v>63</v>
      </c>
      <c r="T36" t="s">
        <v>38</v>
      </c>
      <c r="U36" t="s">
        <v>101</v>
      </c>
      <c r="V36" t="s">
        <v>64</v>
      </c>
      <c r="W36" t="s">
        <v>65</v>
      </c>
    </row>
    <row r="37" spans="1:23" x14ac:dyDescent="0.75">
      <c r="A37">
        <v>37</v>
      </c>
      <c r="B37" s="2"/>
      <c r="C37" s="2"/>
      <c r="D37" t="s">
        <v>23</v>
      </c>
      <c r="F37" t="s">
        <v>103</v>
      </c>
      <c r="G37" t="s">
        <v>25</v>
      </c>
      <c r="H37" t="s">
        <v>50</v>
      </c>
      <c r="I37" t="s">
        <v>27</v>
      </c>
      <c r="J37" t="s">
        <v>107</v>
      </c>
      <c r="K37" t="s">
        <v>68</v>
      </c>
      <c r="L37" t="s">
        <v>51</v>
      </c>
      <c r="M37" t="s">
        <v>118</v>
      </c>
      <c r="N37" t="s">
        <v>32</v>
      </c>
      <c r="O37" t="s">
        <v>33</v>
      </c>
      <c r="P37" t="s">
        <v>54</v>
      </c>
      <c r="Q37" t="s">
        <v>54</v>
      </c>
      <c r="R37" t="s">
        <v>36</v>
      </c>
      <c r="S37" t="s">
        <v>37</v>
      </c>
      <c r="T37" t="s">
        <v>80</v>
      </c>
      <c r="U37" t="s">
        <v>39</v>
      </c>
      <c r="V37" t="s">
        <v>40</v>
      </c>
      <c r="W37" t="s">
        <v>49</v>
      </c>
    </row>
    <row r="38" spans="1:23" x14ac:dyDescent="0.75">
      <c r="A38">
        <v>38</v>
      </c>
      <c r="B38" s="2"/>
      <c r="C38" s="2"/>
      <c r="D38" t="s">
        <v>23</v>
      </c>
      <c r="F38" t="s">
        <v>56</v>
      </c>
      <c r="G38" t="s">
        <v>25</v>
      </c>
      <c r="H38" t="s">
        <v>50</v>
      </c>
      <c r="I38" t="s">
        <v>104</v>
      </c>
      <c r="J38" t="s">
        <v>87</v>
      </c>
      <c r="K38" t="s">
        <v>116</v>
      </c>
      <c r="L38" t="s">
        <v>30</v>
      </c>
      <c r="M38" t="s">
        <v>125</v>
      </c>
      <c r="N38" t="s">
        <v>45</v>
      </c>
      <c r="O38" t="s">
        <v>82</v>
      </c>
      <c r="P38" t="s">
        <v>34</v>
      </c>
      <c r="Q38" t="s">
        <v>34</v>
      </c>
      <c r="R38" t="s">
        <v>46</v>
      </c>
      <c r="S38" t="s">
        <v>79</v>
      </c>
      <c r="T38" t="s">
        <v>55</v>
      </c>
      <c r="U38" t="s">
        <v>48</v>
      </c>
      <c r="V38" t="s">
        <v>64</v>
      </c>
      <c r="W38" t="s">
        <v>65</v>
      </c>
    </row>
    <row r="39" spans="1:23" x14ac:dyDescent="0.75">
      <c r="A39">
        <v>39</v>
      </c>
      <c r="B39" s="2"/>
      <c r="C39" s="2"/>
      <c r="D39" t="s">
        <v>23</v>
      </c>
      <c r="F39" t="s">
        <v>24</v>
      </c>
      <c r="G39" t="s">
        <v>25</v>
      </c>
      <c r="H39" t="s">
        <v>50</v>
      </c>
      <c r="I39" t="s">
        <v>27</v>
      </c>
      <c r="J39" t="s">
        <v>28</v>
      </c>
      <c r="K39" t="s">
        <v>29</v>
      </c>
      <c r="L39" t="s">
        <v>30</v>
      </c>
      <c r="M39" t="s">
        <v>124</v>
      </c>
      <c r="N39" t="s">
        <v>52</v>
      </c>
      <c r="O39" t="s">
        <v>33</v>
      </c>
      <c r="P39" t="s">
        <v>62</v>
      </c>
      <c r="Q39" t="s">
        <v>62</v>
      </c>
      <c r="R39" t="s">
        <v>71</v>
      </c>
      <c r="S39" t="s">
        <v>75</v>
      </c>
      <c r="T39" t="s">
        <v>38</v>
      </c>
      <c r="U39" t="s">
        <v>101</v>
      </c>
      <c r="V39" t="s">
        <v>40</v>
      </c>
      <c r="W39" t="s">
        <v>41</v>
      </c>
    </row>
    <row r="40" spans="1:23" x14ac:dyDescent="0.75">
      <c r="A40">
        <v>40</v>
      </c>
      <c r="B40" s="2"/>
      <c r="C40" s="2"/>
      <c r="D40" t="s">
        <v>23</v>
      </c>
      <c r="F40" t="s">
        <v>42</v>
      </c>
      <c r="G40" t="s">
        <v>25</v>
      </c>
      <c r="H40" t="s">
        <v>50</v>
      </c>
      <c r="I40" t="s">
        <v>92</v>
      </c>
      <c r="J40" t="s">
        <v>72</v>
      </c>
      <c r="K40" t="s">
        <v>126</v>
      </c>
      <c r="L40" t="s">
        <v>51</v>
      </c>
      <c r="M40" t="s">
        <v>127</v>
      </c>
      <c r="N40" t="s">
        <v>52</v>
      </c>
      <c r="O40" t="s">
        <v>53</v>
      </c>
      <c r="P40" t="s">
        <v>35</v>
      </c>
      <c r="Q40" t="s">
        <v>35</v>
      </c>
      <c r="R40" t="s">
        <v>36</v>
      </c>
      <c r="S40" t="s">
        <v>47</v>
      </c>
      <c r="T40" t="s">
        <v>80</v>
      </c>
      <c r="U40" t="s">
        <v>39</v>
      </c>
      <c r="V40" t="s">
        <v>95</v>
      </c>
      <c r="W40" t="s">
        <v>49</v>
      </c>
    </row>
    <row r="41" spans="1:23" x14ac:dyDescent="0.75">
      <c r="A41">
        <v>41</v>
      </c>
      <c r="B41" s="2"/>
      <c r="C41" s="2"/>
      <c r="D41" t="s">
        <v>23</v>
      </c>
      <c r="F41" t="s">
        <v>56</v>
      </c>
      <c r="G41" t="s">
        <v>25</v>
      </c>
      <c r="H41" t="s">
        <v>26</v>
      </c>
      <c r="I41" t="s">
        <v>57</v>
      </c>
      <c r="J41" t="s">
        <v>58</v>
      </c>
      <c r="K41" t="s">
        <v>59</v>
      </c>
      <c r="L41" t="s">
        <v>30</v>
      </c>
      <c r="M41" t="s">
        <v>128</v>
      </c>
      <c r="N41" t="s">
        <v>45</v>
      </c>
      <c r="O41" t="s">
        <v>113</v>
      </c>
      <c r="P41" t="s">
        <v>34</v>
      </c>
      <c r="Q41" t="s">
        <v>77</v>
      </c>
      <c r="R41" t="s">
        <v>78</v>
      </c>
      <c r="S41" t="s">
        <v>63</v>
      </c>
      <c r="T41" t="s">
        <v>55</v>
      </c>
      <c r="U41" t="s">
        <v>83</v>
      </c>
      <c r="V41" t="s">
        <v>64</v>
      </c>
      <c r="W41" t="s">
        <v>65</v>
      </c>
    </row>
    <row r="42" spans="1:23" x14ac:dyDescent="0.75">
      <c r="A42">
        <v>42</v>
      </c>
      <c r="B42" s="2"/>
      <c r="C42" s="2"/>
      <c r="D42" t="s">
        <v>23</v>
      </c>
      <c r="F42" t="s">
        <v>103</v>
      </c>
      <c r="G42" t="s">
        <v>25</v>
      </c>
      <c r="H42" t="s">
        <v>50</v>
      </c>
      <c r="I42" t="s">
        <v>27</v>
      </c>
      <c r="J42" t="s">
        <v>28</v>
      </c>
      <c r="K42" t="s">
        <v>129</v>
      </c>
      <c r="L42" t="s">
        <v>30</v>
      </c>
      <c r="M42" t="s">
        <v>130</v>
      </c>
      <c r="N42" t="s">
        <v>32</v>
      </c>
      <c r="O42" t="s">
        <v>33</v>
      </c>
      <c r="P42" t="s">
        <v>62</v>
      </c>
      <c r="Q42" t="s">
        <v>54</v>
      </c>
      <c r="R42" t="s">
        <v>71</v>
      </c>
      <c r="S42" t="s">
        <v>63</v>
      </c>
      <c r="T42" t="s">
        <v>38</v>
      </c>
      <c r="U42" t="s">
        <v>101</v>
      </c>
      <c r="V42" t="s">
        <v>40</v>
      </c>
      <c r="W42" t="s">
        <v>41</v>
      </c>
    </row>
    <row r="43" spans="1:23" x14ac:dyDescent="0.75">
      <c r="A43">
        <v>43</v>
      </c>
      <c r="B43" s="2"/>
      <c r="C43" s="2"/>
      <c r="D43" t="s">
        <v>23</v>
      </c>
      <c r="F43" t="s">
        <v>131</v>
      </c>
      <c r="G43" t="s">
        <v>25</v>
      </c>
      <c r="H43" t="s">
        <v>50</v>
      </c>
      <c r="I43" t="s">
        <v>57</v>
      </c>
      <c r="J43" t="s">
        <v>58</v>
      </c>
      <c r="K43" t="s">
        <v>59</v>
      </c>
      <c r="L43" t="s">
        <v>30</v>
      </c>
      <c r="M43" t="s">
        <v>132</v>
      </c>
      <c r="N43" t="s">
        <v>32</v>
      </c>
      <c r="O43" t="s">
        <v>53</v>
      </c>
      <c r="P43" t="s">
        <v>54</v>
      </c>
      <c r="Q43" t="s">
        <v>35</v>
      </c>
      <c r="R43" t="s">
        <v>36</v>
      </c>
      <c r="S43" t="s">
        <v>63</v>
      </c>
      <c r="T43" t="s">
        <v>80</v>
      </c>
      <c r="U43" t="s">
        <v>39</v>
      </c>
      <c r="V43" t="s">
        <v>64</v>
      </c>
      <c r="W43" t="s">
        <v>65</v>
      </c>
    </row>
    <row r="44" spans="1:23" x14ac:dyDescent="0.75">
      <c r="A44">
        <v>44</v>
      </c>
      <c r="B44" s="2"/>
      <c r="C44" s="2"/>
      <c r="D44" t="s">
        <v>23</v>
      </c>
      <c r="F44" t="s">
        <v>98</v>
      </c>
      <c r="G44" t="s">
        <v>96</v>
      </c>
      <c r="H44" t="s">
        <v>50</v>
      </c>
      <c r="I44" t="s">
        <v>92</v>
      </c>
      <c r="J44" t="s">
        <v>133</v>
      </c>
      <c r="K44" t="s">
        <v>134</v>
      </c>
      <c r="L44" t="s">
        <v>51</v>
      </c>
      <c r="M44" t="s">
        <v>135</v>
      </c>
      <c r="N44" t="s">
        <v>52</v>
      </c>
      <c r="O44" t="s">
        <v>82</v>
      </c>
      <c r="P44" t="s">
        <v>54</v>
      </c>
      <c r="Q44" t="s">
        <v>54</v>
      </c>
      <c r="R44" t="s">
        <v>46</v>
      </c>
      <c r="S44" t="s">
        <v>63</v>
      </c>
      <c r="T44" t="s">
        <v>55</v>
      </c>
      <c r="U44" t="s">
        <v>48</v>
      </c>
      <c r="V44" t="s">
        <v>95</v>
      </c>
      <c r="W44" t="s">
        <v>85</v>
      </c>
    </row>
    <row r="45" spans="1:23" x14ac:dyDescent="0.75">
      <c r="A45">
        <v>45</v>
      </c>
      <c r="B45" s="2"/>
      <c r="C45" s="2"/>
      <c r="D45" t="s">
        <v>23</v>
      </c>
      <c r="F45" t="s">
        <v>131</v>
      </c>
      <c r="G45" t="s">
        <v>25</v>
      </c>
      <c r="H45" t="s">
        <v>50</v>
      </c>
      <c r="I45" t="s">
        <v>27</v>
      </c>
      <c r="J45" t="s">
        <v>28</v>
      </c>
      <c r="K45" t="s">
        <v>129</v>
      </c>
      <c r="L45" t="s">
        <v>30</v>
      </c>
      <c r="M45" t="s">
        <v>136</v>
      </c>
      <c r="N45" t="s">
        <v>52</v>
      </c>
      <c r="O45" t="s">
        <v>33</v>
      </c>
      <c r="P45" t="s">
        <v>62</v>
      </c>
      <c r="Q45" t="s">
        <v>62</v>
      </c>
      <c r="R45" t="s">
        <v>71</v>
      </c>
      <c r="S45" t="s">
        <v>75</v>
      </c>
      <c r="T45" t="s">
        <v>38</v>
      </c>
      <c r="U45" t="s">
        <v>39</v>
      </c>
      <c r="V45" t="s">
        <v>40</v>
      </c>
      <c r="W45" t="s">
        <v>41</v>
      </c>
    </row>
    <row r="46" spans="1:23" x14ac:dyDescent="0.75">
      <c r="A46">
        <v>46</v>
      </c>
      <c r="B46" s="2"/>
      <c r="C46" s="2"/>
      <c r="D46" t="s">
        <v>23</v>
      </c>
      <c r="F46" t="s">
        <v>42</v>
      </c>
      <c r="G46" t="s">
        <v>96</v>
      </c>
      <c r="H46" t="s">
        <v>50</v>
      </c>
      <c r="I46" t="s">
        <v>57</v>
      </c>
      <c r="J46" t="s">
        <v>58</v>
      </c>
      <c r="K46" t="s">
        <v>59</v>
      </c>
      <c r="L46" t="s">
        <v>30</v>
      </c>
      <c r="M46" t="s">
        <v>137</v>
      </c>
      <c r="N46" t="s">
        <v>45</v>
      </c>
      <c r="O46" t="s">
        <v>113</v>
      </c>
      <c r="P46" t="s">
        <v>54</v>
      </c>
      <c r="Q46" t="s">
        <v>54</v>
      </c>
      <c r="R46" t="s">
        <v>36</v>
      </c>
      <c r="S46" t="s">
        <v>63</v>
      </c>
      <c r="T46" t="s">
        <v>80</v>
      </c>
      <c r="U46" t="s">
        <v>101</v>
      </c>
      <c r="V46" t="s">
        <v>64</v>
      </c>
      <c r="W46" t="s">
        <v>65</v>
      </c>
    </row>
    <row r="47" spans="1:23" x14ac:dyDescent="0.75">
      <c r="A47">
        <v>47</v>
      </c>
      <c r="B47" s="2"/>
      <c r="C47" s="2"/>
      <c r="D47" t="s">
        <v>23</v>
      </c>
      <c r="F47" t="s">
        <v>103</v>
      </c>
      <c r="G47" t="s">
        <v>66</v>
      </c>
      <c r="H47" t="s">
        <v>26</v>
      </c>
      <c r="I47" t="s">
        <v>104</v>
      </c>
      <c r="J47" t="s">
        <v>87</v>
      </c>
      <c r="K47" t="s">
        <v>138</v>
      </c>
      <c r="L47" t="s">
        <v>30</v>
      </c>
      <c r="M47" t="s">
        <v>139</v>
      </c>
      <c r="N47" t="s">
        <v>32</v>
      </c>
      <c r="O47" t="s">
        <v>82</v>
      </c>
      <c r="P47" t="s">
        <v>62</v>
      </c>
      <c r="Q47" t="s">
        <v>54</v>
      </c>
      <c r="R47" t="s">
        <v>36</v>
      </c>
      <c r="S47" t="s">
        <v>47</v>
      </c>
      <c r="T47" t="s">
        <v>80</v>
      </c>
      <c r="U47" t="s">
        <v>48</v>
      </c>
      <c r="V47" t="s">
        <v>40</v>
      </c>
      <c r="W47" t="s">
        <v>49</v>
      </c>
    </row>
    <row r="48" spans="1:23" x14ac:dyDescent="0.75">
      <c r="A48">
        <v>48</v>
      </c>
      <c r="B48" s="2"/>
      <c r="C48" s="2"/>
      <c r="D48" t="s">
        <v>23</v>
      </c>
      <c r="F48" t="s">
        <v>98</v>
      </c>
      <c r="G48" t="s">
        <v>25</v>
      </c>
      <c r="H48" t="s">
        <v>26</v>
      </c>
      <c r="I48" t="s">
        <v>92</v>
      </c>
      <c r="J48" t="s">
        <v>107</v>
      </c>
      <c r="K48" t="s">
        <v>140</v>
      </c>
      <c r="L48" t="s">
        <v>51</v>
      </c>
      <c r="M48" t="s">
        <v>141</v>
      </c>
      <c r="N48" t="s">
        <v>52</v>
      </c>
      <c r="O48" t="s">
        <v>33</v>
      </c>
      <c r="P48" t="s">
        <v>62</v>
      </c>
      <c r="Q48" t="s">
        <v>62</v>
      </c>
      <c r="R48" t="s">
        <v>71</v>
      </c>
      <c r="S48" t="s">
        <v>75</v>
      </c>
      <c r="T48" t="s">
        <v>38</v>
      </c>
      <c r="U48" t="s">
        <v>101</v>
      </c>
      <c r="V48" t="s">
        <v>95</v>
      </c>
      <c r="W48" t="s">
        <v>49</v>
      </c>
    </row>
    <row r="49" spans="1:23" x14ac:dyDescent="0.75">
      <c r="A49">
        <v>49</v>
      </c>
      <c r="B49" s="2"/>
      <c r="C49" s="2"/>
      <c r="D49" t="s">
        <v>23</v>
      </c>
      <c r="F49" t="s">
        <v>56</v>
      </c>
      <c r="G49" t="s">
        <v>91</v>
      </c>
      <c r="H49" t="s">
        <v>50</v>
      </c>
      <c r="I49" t="s">
        <v>57</v>
      </c>
      <c r="J49" t="s">
        <v>58</v>
      </c>
      <c r="K49" t="s">
        <v>59</v>
      </c>
      <c r="L49" t="s">
        <v>30</v>
      </c>
      <c r="M49" t="s">
        <v>137</v>
      </c>
      <c r="N49" t="s">
        <v>45</v>
      </c>
      <c r="O49" t="s">
        <v>53</v>
      </c>
      <c r="P49" t="s">
        <v>35</v>
      </c>
      <c r="Q49" t="s">
        <v>142</v>
      </c>
      <c r="R49" t="s">
        <v>46</v>
      </c>
      <c r="S49" t="s">
        <v>63</v>
      </c>
      <c r="T49" t="s">
        <v>55</v>
      </c>
      <c r="U49" t="s">
        <v>39</v>
      </c>
      <c r="V49" t="s">
        <v>64</v>
      </c>
      <c r="W49" t="s">
        <v>65</v>
      </c>
    </row>
    <row r="50" spans="1:23" x14ac:dyDescent="0.75">
      <c r="A50">
        <v>50</v>
      </c>
      <c r="B50" s="2"/>
      <c r="C50" s="2"/>
      <c r="D50" t="s">
        <v>23</v>
      </c>
      <c r="F50" t="s">
        <v>131</v>
      </c>
      <c r="G50" t="s">
        <v>25</v>
      </c>
      <c r="H50" t="s">
        <v>50</v>
      </c>
      <c r="I50" t="s">
        <v>27</v>
      </c>
      <c r="J50" t="s">
        <v>72</v>
      </c>
      <c r="K50" t="s">
        <v>143</v>
      </c>
      <c r="L50" t="s">
        <v>30</v>
      </c>
      <c r="M50" t="s">
        <v>144</v>
      </c>
      <c r="N50" t="s">
        <v>52</v>
      </c>
      <c r="O50" t="s">
        <v>33</v>
      </c>
      <c r="P50" t="s">
        <v>54</v>
      </c>
      <c r="Q50" t="s">
        <v>54</v>
      </c>
      <c r="R50" t="s">
        <v>36</v>
      </c>
      <c r="S50" t="s">
        <v>47</v>
      </c>
      <c r="T50" t="s">
        <v>80</v>
      </c>
      <c r="U50" t="s">
        <v>101</v>
      </c>
      <c r="V50" t="s">
        <v>40</v>
      </c>
      <c r="W50" t="s">
        <v>49</v>
      </c>
    </row>
    <row r="51" spans="1:23" x14ac:dyDescent="0.75">
      <c r="A51">
        <v>51</v>
      </c>
      <c r="B51" s="2"/>
      <c r="C51" s="2"/>
      <c r="D51" t="s">
        <v>23</v>
      </c>
      <c r="F51" t="s">
        <v>42</v>
      </c>
      <c r="G51" t="s">
        <v>66</v>
      </c>
      <c r="H51" t="s">
        <v>50</v>
      </c>
      <c r="I51" t="s">
        <v>104</v>
      </c>
      <c r="J51" t="s">
        <v>87</v>
      </c>
      <c r="K51" t="s">
        <v>145</v>
      </c>
      <c r="L51" t="s">
        <v>30</v>
      </c>
      <c r="M51" t="s">
        <v>139</v>
      </c>
      <c r="N51" t="s">
        <v>32</v>
      </c>
      <c r="O51" t="s">
        <v>82</v>
      </c>
      <c r="P51" t="s">
        <v>35</v>
      </c>
      <c r="Q51" t="s">
        <v>35</v>
      </c>
      <c r="R51" t="s">
        <v>46</v>
      </c>
      <c r="S51" t="s">
        <v>37</v>
      </c>
      <c r="T51" t="s">
        <v>55</v>
      </c>
      <c r="U51" t="s">
        <v>48</v>
      </c>
      <c r="V51" t="s">
        <v>40</v>
      </c>
      <c r="W51" t="s">
        <v>85</v>
      </c>
    </row>
    <row r="52" spans="1:23" x14ac:dyDescent="0.75">
      <c r="A52">
        <v>52</v>
      </c>
      <c r="B52" s="2"/>
      <c r="C52" s="2"/>
      <c r="D52" t="s">
        <v>23</v>
      </c>
      <c r="F52" t="s">
        <v>103</v>
      </c>
      <c r="G52" t="s">
        <v>96</v>
      </c>
      <c r="H52" t="s">
        <v>26</v>
      </c>
      <c r="I52" t="s">
        <v>92</v>
      </c>
      <c r="J52" t="s">
        <v>28</v>
      </c>
      <c r="K52" t="s">
        <v>146</v>
      </c>
      <c r="L52" t="s">
        <v>51</v>
      </c>
      <c r="M52" t="s">
        <v>147</v>
      </c>
      <c r="N52" t="s">
        <v>52</v>
      </c>
      <c r="O52" t="s">
        <v>53</v>
      </c>
      <c r="P52" t="s">
        <v>62</v>
      </c>
      <c r="Q52" t="s">
        <v>62</v>
      </c>
      <c r="R52" t="s">
        <v>71</v>
      </c>
      <c r="S52" t="s">
        <v>63</v>
      </c>
      <c r="T52" t="s">
        <v>38</v>
      </c>
      <c r="U52" t="s">
        <v>101</v>
      </c>
      <c r="V52" t="s">
        <v>95</v>
      </c>
      <c r="W52" t="s">
        <v>49</v>
      </c>
    </row>
    <row r="53" spans="1:23" x14ac:dyDescent="0.75">
      <c r="A53">
        <v>53</v>
      </c>
      <c r="B53" s="2"/>
      <c r="C53" s="2"/>
      <c r="D53" t="s">
        <v>23</v>
      </c>
      <c r="F53" t="s">
        <v>42</v>
      </c>
      <c r="G53" t="s">
        <v>148</v>
      </c>
      <c r="H53" t="s">
        <v>50</v>
      </c>
      <c r="I53" t="s">
        <v>57</v>
      </c>
      <c r="J53" t="s">
        <v>58</v>
      </c>
      <c r="K53" t="s">
        <v>59</v>
      </c>
      <c r="L53" t="s">
        <v>30</v>
      </c>
      <c r="M53" t="s">
        <v>149</v>
      </c>
      <c r="N53" t="s">
        <v>45</v>
      </c>
      <c r="O53" t="s">
        <v>113</v>
      </c>
      <c r="P53" t="s">
        <v>34</v>
      </c>
      <c r="Q53" t="s">
        <v>34</v>
      </c>
      <c r="R53" t="s">
        <v>46</v>
      </c>
      <c r="S53" t="s">
        <v>63</v>
      </c>
      <c r="T53" t="s">
        <v>110</v>
      </c>
      <c r="U53" t="s">
        <v>83</v>
      </c>
      <c r="V53" t="s">
        <v>64</v>
      </c>
      <c r="W53" t="s">
        <v>65</v>
      </c>
    </row>
    <row r="54" spans="1:23" x14ac:dyDescent="0.75">
      <c r="A54">
        <v>54</v>
      </c>
      <c r="B54" s="2"/>
      <c r="C54" s="2"/>
      <c r="D54" t="s">
        <v>23</v>
      </c>
      <c r="F54" t="s">
        <v>98</v>
      </c>
      <c r="G54" t="s">
        <v>25</v>
      </c>
      <c r="H54" t="s">
        <v>26</v>
      </c>
      <c r="I54" t="s">
        <v>27</v>
      </c>
      <c r="J54" t="s">
        <v>107</v>
      </c>
      <c r="K54" t="s">
        <v>138</v>
      </c>
      <c r="L54" t="s">
        <v>30</v>
      </c>
      <c r="M54" t="s">
        <v>150</v>
      </c>
      <c r="N54" t="s">
        <v>52</v>
      </c>
      <c r="O54" t="s">
        <v>33</v>
      </c>
      <c r="P54" t="s">
        <v>62</v>
      </c>
      <c r="Q54" t="s">
        <v>62</v>
      </c>
      <c r="R54" t="s">
        <v>71</v>
      </c>
      <c r="S54" t="s">
        <v>63</v>
      </c>
      <c r="T54" t="s">
        <v>38</v>
      </c>
      <c r="U54" t="s">
        <v>101</v>
      </c>
      <c r="V54" t="s">
        <v>40</v>
      </c>
      <c r="W54" t="s">
        <v>41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BEB78-2E40-4E06-860B-C272FD6D355C}">
  <dimension ref="B1:F37"/>
  <sheetViews>
    <sheetView topLeftCell="A2" zoomScale="56" workbookViewId="0">
      <selection activeCell="B2" sqref="B2:F37"/>
    </sheetView>
  </sheetViews>
  <sheetFormatPr defaultRowHeight="14.75" x14ac:dyDescent="0.75"/>
  <cols>
    <col min="1" max="1" width="9.26953125" customWidth="1"/>
    <col min="2" max="2" width="17.26953125" customWidth="1"/>
    <col min="3" max="4" width="17.40625" customWidth="1"/>
    <col min="5" max="6" width="17.54296875" customWidth="1"/>
  </cols>
  <sheetData>
    <row r="1" spans="2:6" ht="15.5" thickBot="1" x14ac:dyDescent="0.9"/>
    <row r="2" spans="2:6" ht="15.5" thickBot="1" x14ac:dyDescent="0.9">
      <c r="B2" s="3" t="s">
        <v>151</v>
      </c>
      <c r="C2" s="4" t="s">
        <v>152</v>
      </c>
      <c r="D2" s="4" t="s">
        <v>153</v>
      </c>
      <c r="E2" s="4" t="s">
        <v>154</v>
      </c>
      <c r="F2" s="5" t="s">
        <v>155</v>
      </c>
    </row>
    <row r="3" spans="2:6" x14ac:dyDescent="0.75">
      <c r="B3" s="6">
        <v>1</v>
      </c>
      <c r="C3" s="7" t="s">
        <v>156</v>
      </c>
      <c r="D3" s="8">
        <v>3.85</v>
      </c>
      <c r="E3" s="7" t="s">
        <v>157</v>
      </c>
      <c r="F3" s="6" t="s">
        <v>25</v>
      </c>
    </row>
    <row r="4" spans="2:6" x14ac:dyDescent="0.75">
      <c r="B4" s="9">
        <v>2</v>
      </c>
      <c r="C4" s="7" t="s">
        <v>156</v>
      </c>
      <c r="D4" s="10">
        <v>3.85</v>
      </c>
      <c r="E4" s="7" t="s">
        <v>157</v>
      </c>
      <c r="F4" s="9" t="s">
        <v>25</v>
      </c>
    </row>
    <row r="5" spans="2:6" x14ac:dyDescent="0.75">
      <c r="B5" s="9">
        <v>3</v>
      </c>
      <c r="C5" s="7" t="s">
        <v>156</v>
      </c>
      <c r="D5" s="10">
        <v>3.85</v>
      </c>
      <c r="E5" s="7" t="s">
        <v>157</v>
      </c>
      <c r="F5" s="9" t="s">
        <v>25</v>
      </c>
    </row>
    <row r="6" spans="2:6" x14ac:dyDescent="0.75">
      <c r="B6" s="9">
        <v>4</v>
      </c>
      <c r="C6" s="7" t="s">
        <v>156</v>
      </c>
      <c r="D6" s="10">
        <v>3.85</v>
      </c>
      <c r="E6" s="7" t="s">
        <v>157</v>
      </c>
      <c r="F6" s="9" t="s">
        <v>25</v>
      </c>
    </row>
    <row r="7" spans="2:6" x14ac:dyDescent="0.75">
      <c r="B7" s="9">
        <v>5</v>
      </c>
      <c r="C7" s="7" t="s">
        <v>156</v>
      </c>
      <c r="D7" s="10">
        <v>3.85</v>
      </c>
      <c r="E7" s="7" t="s">
        <v>157</v>
      </c>
      <c r="F7" s="9" t="s">
        <v>25</v>
      </c>
    </row>
    <row r="8" spans="2:6" x14ac:dyDescent="0.75">
      <c r="B8" s="9">
        <v>6</v>
      </c>
      <c r="C8" s="7" t="s">
        <v>156</v>
      </c>
      <c r="D8" s="10">
        <v>3.85</v>
      </c>
      <c r="E8" s="7" t="s">
        <v>157</v>
      </c>
      <c r="F8" s="9" t="s">
        <v>25</v>
      </c>
    </row>
    <row r="9" spans="2:6" x14ac:dyDescent="0.75">
      <c r="B9" s="9">
        <v>7</v>
      </c>
      <c r="C9" s="7" t="s">
        <v>156</v>
      </c>
      <c r="D9" s="10">
        <v>3.85</v>
      </c>
      <c r="E9" s="7" t="s">
        <v>157</v>
      </c>
      <c r="F9" s="9" t="s">
        <v>25</v>
      </c>
    </row>
    <row r="10" spans="2:6" x14ac:dyDescent="0.75">
      <c r="B10" s="9">
        <v>8</v>
      </c>
      <c r="C10" s="7" t="s">
        <v>156</v>
      </c>
      <c r="D10" s="10">
        <v>3.5</v>
      </c>
      <c r="E10" s="7" t="s">
        <v>157</v>
      </c>
      <c r="F10" s="9" t="s">
        <v>25</v>
      </c>
    </row>
    <row r="11" spans="2:6" x14ac:dyDescent="0.75">
      <c r="B11" s="9">
        <v>9</v>
      </c>
      <c r="C11" s="7" t="s">
        <v>156</v>
      </c>
      <c r="D11" s="10">
        <v>3.5</v>
      </c>
      <c r="E11" s="7" t="s">
        <v>157</v>
      </c>
      <c r="F11" s="9" t="s">
        <v>25</v>
      </c>
    </row>
    <row r="12" spans="2:6" x14ac:dyDescent="0.75">
      <c r="B12" s="9">
        <v>10</v>
      </c>
      <c r="C12" s="7" t="s">
        <v>156</v>
      </c>
      <c r="D12" s="10">
        <v>3.5</v>
      </c>
      <c r="E12" s="7" t="s">
        <v>157</v>
      </c>
      <c r="F12" s="9" t="s">
        <v>25</v>
      </c>
    </row>
    <row r="13" spans="2:6" x14ac:dyDescent="0.75">
      <c r="B13" s="9">
        <v>11</v>
      </c>
      <c r="C13" s="7" t="s">
        <v>156</v>
      </c>
      <c r="D13" s="10">
        <v>3.5</v>
      </c>
      <c r="E13" s="7" t="s">
        <v>157</v>
      </c>
      <c r="F13" s="9" t="s">
        <v>25</v>
      </c>
    </row>
    <row r="14" spans="2:6" x14ac:dyDescent="0.75">
      <c r="B14" s="9">
        <v>12</v>
      </c>
      <c r="C14" s="7" t="s">
        <v>156</v>
      </c>
      <c r="D14" s="10">
        <v>3.5</v>
      </c>
      <c r="E14" s="7" t="s">
        <v>157</v>
      </c>
      <c r="F14" s="9" t="s">
        <v>25</v>
      </c>
    </row>
    <row r="15" spans="2:6" x14ac:dyDescent="0.75">
      <c r="B15" s="9">
        <v>13</v>
      </c>
      <c r="C15" s="7" t="s">
        <v>156</v>
      </c>
      <c r="D15" s="10">
        <v>3.5</v>
      </c>
      <c r="E15" s="7" t="s">
        <v>157</v>
      </c>
      <c r="F15" s="9" t="s">
        <v>25</v>
      </c>
    </row>
    <row r="16" spans="2:6" x14ac:dyDescent="0.75">
      <c r="B16" s="9">
        <v>14</v>
      </c>
      <c r="C16" s="7" t="s">
        <v>156</v>
      </c>
      <c r="D16" s="10">
        <v>3.5</v>
      </c>
      <c r="E16" s="7" t="s">
        <v>157</v>
      </c>
      <c r="F16" s="9" t="s">
        <v>25</v>
      </c>
    </row>
    <row r="17" spans="2:6" x14ac:dyDescent="0.75">
      <c r="B17" s="9">
        <v>15</v>
      </c>
      <c r="C17" s="7" t="s">
        <v>156</v>
      </c>
      <c r="D17" s="10">
        <v>3.5</v>
      </c>
      <c r="E17" s="7" t="s">
        <v>157</v>
      </c>
      <c r="F17" s="9" t="s">
        <v>25</v>
      </c>
    </row>
    <row r="18" spans="2:6" x14ac:dyDescent="0.75">
      <c r="B18" s="9">
        <v>16</v>
      </c>
      <c r="C18" s="7" t="s">
        <v>156</v>
      </c>
      <c r="D18" s="10">
        <v>3</v>
      </c>
      <c r="E18" s="7" t="s">
        <v>157</v>
      </c>
      <c r="F18" s="9" t="s">
        <v>25</v>
      </c>
    </row>
    <row r="19" spans="2:6" x14ac:dyDescent="0.75">
      <c r="B19" s="9">
        <v>17</v>
      </c>
      <c r="C19" s="7" t="s">
        <v>156</v>
      </c>
      <c r="D19" s="10">
        <v>3</v>
      </c>
      <c r="E19" s="7" t="s">
        <v>157</v>
      </c>
      <c r="F19" s="9" t="s">
        <v>25</v>
      </c>
    </row>
    <row r="20" spans="2:6" x14ac:dyDescent="0.75">
      <c r="B20" s="9">
        <v>18</v>
      </c>
      <c r="C20" s="7" t="s">
        <v>156</v>
      </c>
      <c r="D20" s="10">
        <v>3</v>
      </c>
      <c r="E20" s="7" t="s">
        <v>157</v>
      </c>
      <c r="F20" s="9" t="s">
        <v>25</v>
      </c>
    </row>
    <row r="21" spans="2:6" x14ac:dyDescent="0.75">
      <c r="B21" s="9">
        <v>19</v>
      </c>
      <c r="C21" s="7" t="s">
        <v>156</v>
      </c>
      <c r="D21" s="10">
        <v>3</v>
      </c>
      <c r="E21" s="7" t="s">
        <v>157</v>
      </c>
      <c r="F21" s="9" t="s">
        <v>25</v>
      </c>
    </row>
    <row r="22" spans="2:6" x14ac:dyDescent="0.75">
      <c r="B22" s="9">
        <v>20</v>
      </c>
      <c r="C22" s="7" t="s">
        <v>156</v>
      </c>
      <c r="D22" s="10">
        <v>2.5</v>
      </c>
      <c r="E22" s="7" t="s">
        <v>157</v>
      </c>
      <c r="F22" s="9" t="s">
        <v>25</v>
      </c>
    </row>
    <row r="23" spans="2:6" x14ac:dyDescent="0.75">
      <c r="B23" s="9">
        <v>21</v>
      </c>
      <c r="C23" s="7" t="s">
        <v>156</v>
      </c>
      <c r="D23" s="10">
        <v>2.5</v>
      </c>
      <c r="E23" s="7" t="s">
        <v>157</v>
      </c>
      <c r="F23" s="9" t="s">
        <v>25</v>
      </c>
    </row>
    <row r="24" spans="2:6" x14ac:dyDescent="0.75">
      <c r="B24" s="9">
        <v>22</v>
      </c>
      <c r="C24" s="7" t="s">
        <v>158</v>
      </c>
      <c r="D24" s="10">
        <v>3.85</v>
      </c>
      <c r="E24" s="7" t="s">
        <v>157</v>
      </c>
      <c r="F24" s="9" t="s">
        <v>25</v>
      </c>
    </row>
    <row r="25" spans="2:6" x14ac:dyDescent="0.75">
      <c r="B25" s="9">
        <v>23</v>
      </c>
      <c r="C25" s="7" t="s">
        <v>158</v>
      </c>
      <c r="D25" s="10">
        <v>3.85</v>
      </c>
      <c r="E25" s="7" t="s">
        <v>157</v>
      </c>
      <c r="F25" s="9" t="s">
        <v>25</v>
      </c>
    </row>
    <row r="26" spans="2:6" x14ac:dyDescent="0.75">
      <c r="B26" s="9">
        <v>24</v>
      </c>
      <c r="C26" s="7" t="s">
        <v>158</v>
      </c>
      <c r="D26" s="10">
        <v>3.85</v>
      </c>
      <c r="E26" s="7" t="s">
        <v>157</v>
      </c>
      <c r="F26" s="9" t="s">
        <v>25</v>
      </c>
    </row>
    <row r="27" spans="2:6" x14ac:dyDescent="0.75">
      <c r="B27" s="9">
        <v>25</v>
      </c>
      <c r="C27" s="7" t="s">
        <v>158</v>
      </c>
      <c r="D27" s="10">
        <v>3.5</v>
      </c>
      <c r="E27" s="7" t="s">
        <v>157</v>
      </c>
      <c r="F27" s="9" t="s">
        <v>25</v>
      </c>
    </row>
    <row r="28" spans="2:6" x14ac:dyDescent="0.75">
      <c r="B28" s="9">
        <v>26</v>
      </c>
      <c r="C28" s="7" t="s">
        <v>158</v>
      </c>
      <c r="D28" s="10">
        <v>3.5</v>
      </c>
      <c r="E28" s="7" t="s">
        <v>157</v>
      </c>
      <c r="F28" s="9" t="s">
        <v>25</v>
      </c>
    </row>
    <row r="29" spans="2:6" x14ac:dyDescent="0.75">
      <c r="B29" s="9">
        <v>27</v>
      </c>
      <c r="C29" s="7" t="s">
        <v>158</v>
      </c>
      <c r="D29" s="10">
        <v>3.5</v>
      </c>
      <c r="E29" s="7" t="s">
        <v>157</v>
      </c>
      <c r="F29" s="9" t="s">
        <v>25</v>
      </c>
    </row>
    <row r="30" spans="2:6" x14ac:dyDescent="0.75">
      <c r="B30" s="9">
        <v>28</v>
      </c>
      <c r="C30" s="7" t="s">
        <v>158</v>
      </c>
      <c r="D30" s="10">
        <v>3.5</v>
      </c>
      <c r="E30" s="7" t="s">
        <v>157</v>
      </c>
      <c r="F30" s="9" t="s">
        <v>25</v>
      </c>
    </row>
    <row r="31" spans="2:6" x14ac:dyDescent="0.75">
      <c r="B31" s="9">
        <v>29</v>
      </c>
      <c r="C31" s="7" t="s">
        <v>158</v>
      </c>
      <c r="D31" s="10">
        <v>3</v>
      </c>
      <c r="E31" s="7" t="s">
        <v>157</v>
      </c>
      <c r="F31" s="9" t="s">
        <v>25</v>
      </c>
    </row>
    <row r="32" spans="2:6" x14ac:dyDescent="0.75">
      <c r="B32" s="9">
        <v>30</v>
      </c>
      <c r="C32" s="7" t="s">
        <v>158</v>
      </c>
      <c r="D32" s="10">
        <v>3</v>
      </c>
      <c r="E32" s="7" t="s">
        <v>157</v>
      </c>
      <c r="F32" s="9" t="s">
        <v>25</v>
      </c>
    </row>
    <row r="33" spans="2:6" x14ac:dyDescent="0.75">
      <c r="B33" s="9">
        <v>31</v>
      </c>
      <c r="C33" s="7" t="s">
        <v>158</v>
      </c>
      <c r="D33" s="10">
        <v>3</v>
      </c>
      <c r="E33" s="7" t="s">
        <v>157</v>
      </c>
      <c r="F33" s="9" t="s">
        <v>25</v>
      </c>
    </row>
    <row r="34" spans="2:6" x14ac:dyDescent="0.75">
      <c r="B34" s="9">
        <v>32</v>
      </c>
      <c r="C34" s="7" t="s">
        <v>158</v>
      </c>
      <c r="D34" s="10">
        <v>3</v>
      </c>
      <c r="E34" s="7" t="s">
        <v>157</v>
      </c>
      <c r="F34" s="9" t="s">
        <v>25</v>
      </c>
    </row>
    <row r="35" spans="2:6" x14ac:dyDescent="0.75">
      <c r="B35" s="9">
        <v>33</v>
      </c>
      <c r="C35" s="7" t="s">
        <v>158</v>
      </c>
      <c r="D35" s="10">
        <v>2.5</v>
      </c>
      <c r="E35" s="7" t="s">
        <v>157</v>
      </c>
      <c r="F35" s="9" t="s">
        <v>25</v>
      </c>
    </row>
    <row r="36" spans="2:6" x14ac:dyDescent="0.75">
      <c r="B36" s="9">
        <v>34</v>
      </c>
      <c r="C36" s="7" t="s">
        <v>158</v>
      </c>
      <c r="D36" s="10">
        <v>2.5</v>
      </c>
      <c r="E36" s="7" t="s">
        <v>157</v>
      </c>
      <c r="F36" s="9" t="s">
        <v>25</v>
      </c>
    </row>
    <row r="37" spans="2:6" ht="15.5" thickBot="1" x14ac:dyDescent="0.9">
      <c r="B37" s="11">
        <v>35</v>
      </c>
      <c r="C37" s="12" t="s">
        <v>158</v>
      </c>
      <c r="D37" s="13">
        <v>2.5</v>
      </c>
      <c r="E37" s="12" t="s">
        <v>157</v>
      </c>
      <c r="F37" s="11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54B18-F695-4F91-BBEB-ED6C313A2FDE}">
  <dimension ref="B2:M57"/>
  <sheetViews>
    <sheetView topLeftCell="A27" zoomScale="45" workbookViewId="0">
      <selection activeCell="N20" sqref="N20"/>
    </sheetView>
  </sheetViews>
  <sheetFormatPr defaultRowHeight="14.75" x14ac:dyDescent="0.75"/>
  <sheetData>
    <row r="2" spans="2:13" x14ac:dyDescent="0.75">
      <c r="B2" s="38" t="s">
        <v>159</v>
      </c>
      <c r="C2" s="38"/>
      <c r="D2" s="38"/>
      <c r="E2" s="38"/>
    </row>
    <row r="4" spans="2:13" x14ac:dyDescent="0.75">
      <c r="B4" s="35" t="s">
        <v>156</v>
      </c>
      <c r="C4" s="35"/>
    </row>
    <row r="6" spans="2:13" x14ac:dyDescent="0.75">
      <c r="B6" s="32" t="s">
        <v>160</v>
      </c>
      <c r="C6" s="32"/>
      <c r="D6" s="32"/>
      <c r="E6">
        <f>COUNTIF('Raw Data'!$C$3:$C$37,"Digital")</f>
        <v>21</v>
      </c>
    </row>
    <row r="7" spans="2:13" x14ac:dyDescent="0.75">
      <c r="B7" s="32" t="s">
        <v>161</v>
      </c>
      <c r="C7" s="32"/>
      <c r="D7" s="32"/>
      <c r="E7">
        <f>AVERAGEIF('Raw Data'!$C$3:$C$37,"Digital",'Raw Data'!$D$3:$D$37)</f>
        <v>3.4261904761904765</v>
      </c>
    </row>
    <row r="8" spans="2:13" x14ac:dyDescent="0.75">
      <c r="B8" s="32" t="s">
        <v>162</v>
      </c>
      <c r="C8" s="32"/>
      <c r="D8" s="32"/>
      <c r="E8" cm="1">
        <f t="array" ref="E8">MEDIAN(IF('Raw Data'!$C$3:$C$37="Digital",'Raw Data'!$D$3:$D$37))</f>
        <v>3.5</v>
      </c>
    </row>
    <row r="9" spans="2:13" x14ac:dyDescent="0.75">
      <c r="B9" s="32" t="s">
        <v>163</v>
      </c>
      <c r="C9" s="32"/>
      <c r="D9" s="32"/>
      <c r="E9" cm="1">
        <f t="array" ref="E9">_xlfn.STDEV.S(IF('Raw Data'!$C$3:$C$37="Digital",'Raw Data'!$D$3:$D$37))</f>
        <v>0.43261387160464682</v>
      </c>
    </row>
    <row r="10" spans="2:13" x14ac:dyDescent="0.75">
      <c r="B10" s="32" t="s">
        <v>164</v>
      </c>
      <c r="C10" s="32"/>
      <c r="D10" s="32"/>
      <c r="E10" cm="1">
        <f t="array" ref="E10">_xlfn.VAR.S(IF('Raw Data'!$C$3:$C$37="Digital",'Raw Data'!$D$3:$D$37))</f>
        <v>0.18715476190476182</v>
      </c>
    </row>
    <row r="11" spans="2:13" x14ac:dyDescent="0.75">
      <c r="B11" s="32" t="s">
        <v>165</v>
      </c>
      <c r="C11" s="32"/>
      <c r="D11" s="32"/>
      <c r="E11">
        <f>E9/SQRT(E6)</f>
        <v>9.4404086348390523E-2</v>
      </c>
    </row>
    <row r="14" spans="2:13" x14ac:dyDescent="0.75">
      <c r="B14" s="35" t="s">
        <v>158</v>
      </c>
      <c r="C14" s="35"/>
    </row>
    <row r="15" spans="2:13" x14ac:dyDescent="0.75">
      <c r="M15" s="1" t="s">
        <v>166</v>
      </c>
    </row>
    <row r="16" spans="2:13" x14ac:dyDescent="0.75">
      <c r="B16" s="32" t="s">
        <v>167</v>
      </c>
      <c r="C16" s="32"/>
      <c r="D16" s="32"/>
      <c r="E16">
        <f>COUNTIF('Raw Data'!$C$3:$C$37,"Paper")</f>
        <v>14</v>
      </c>
    </row>
    <row r="17" spans="2:5" x14ac:dyDescent="0.75">
      <c r="B17" s="32" t="s">
        <v>168</v>
      </c>
      <c r="C17" s="32"/>
      <c r="D17" s="32"/>
      <c r="E17">
        <f>AVERAGEIF('Raw Data'!$C$3:$C$37,"Paper",'Raw Data'!$D$3:$D$37)</f>
        <v>3.2178571428571425</v>
      </c>
    </row>
    <row r="18" spans="2:5" x14ac:dyDescent="0.75">
      <c r="B18" s="32" t="s">
        <v>169</v>
      </c>
      <c r="C18" s="32"/>
      <c r="D18" s="32"/>
      <c r="E18" cm="1">
        <f t="array" ref="E18">MEDIAN(IF('Raw Data'!$C$3:$C$37="Paper",'Raw Data'!$D$3:$D$37))</f>
        <v>3.25</v>
      </c>
    </row>
    <row r="19" spans="2:5" x14ac:dyDescent="0.75">
      <c r="B19" s="32" t="s">
        <v>170</v>
      </c>
      <c r="C19" s="32"/>
      <c r="D19" s="32"/>
      <c r="E19" cm="1">
        <f t="array" ref="E19">_xlfn.STDEV.S(IF('Raw Data'!$C$3:$C$37="Paper",'Raw Data'!$D$3:$D$37))</f>
        <v>0.50023346197902097</v>
      </c>
    </row>
    <row r="20" spans="2:5" x14ac:dyDescent="0.75">
      <c r="B20" s="32" t="s">
        <v>171</v>
      </c>
      <c r="C20" s="32"/>
      <c r="D20" s="32"/>
      <c r="E20" cm="1">
        <f t="array" ref="E20">_xlfn.VAR.S(IF('Raw Data'!$C$3:$C$37="Paper",'Raw Data'!$D$3:$D$37))</f>
        <v>0.2502335164835166</v>
      </c>
    </row>
    <row r="21" spans="2:5" x14ac:dyDescent="0.75">
      <c r="B21" s="32" t="s">
        <v>172</v>
      </c>
      <c r="C21" s="32"/>
      <c r="D21" s="32"/>
      <c r="E21">
        <f>E19/SQRT(E16)</f>
        <v>0.13369301629466468</v>
      </c>
    </row>
    <row r="24" spans="2:5" x14ac:dyDescent="0.75">
      <c r="B24" s="36" t="s">
        <v>173</v>
      </c>
      <c r="C24" s="36"/>
      <c r="D24" s="36"/>
      <c r="E24" s="36"/>
    </row>
    <row r="26" spans="2:5" x14ac:dyDescent="0.75">
      <c r="B26" s="37" t="s">
        <v>174</v>
      </c>
      <c r="C26" s="37"/>
    </row>
    <row r="28" spans="2:5" x14ac:dyDescent="0.75">
      <c r="B28" s="32" t="s">
        <v>175</v>
      </c>
      <c r="C28" s="32"/>
      <c r="D28" s="32"/>
      <c r="E28">
        <f>$E$6-1</f>
        <v>20</v>
      </c>
    </row>
    <row r="29" spans="2:5" x14ac:dyDescent="0.75">
      <c r="B29" s="32" t="s">
        <v>176</v>
      </c>
      <c r="C29" s="32"/>
      <c r="D29" s="32"/>
      <c r="E29">
        <f>_xlfn.T.INV.2T(0.05,$E$28)</f>
        <v>2.0859634472658648</v>
      </c>
    </row>
    <row r="30" spans="2:5" x14ac:dyDescent="0.75">
      <c r="B30" s="32" t="s">
        <v>177</v>
      </c>
      <c r="C30" s="32"/>
      <c r="D30" s="32"/>
      <c r="E30">
        <f>$E$7-$E$29*$E$11</f>
        <v>3.2292670027952033</v>
      </c>
    </row>
    <row r="31" spans="2:5" x14ac:dyDescent="0.75">
      <c r="B31" s="32" t="s">
        <v>178</v>
      </c>
      <c r="C31" s="32"/>
      <c r="D31" s="32"/>
      <c r="E31">
        <f>$E$7+$E$29*$E$11</f>
        <v>3.6231139495857496</v>
      </c>
    </row>
    <row r="34" spans="2:5" x14ac:dyDescent="0.75">
      <c r="B34" s="15" t="s">
        <v>158</v>
      </c>
      <c r="C34" s="15"/>
    </row>
    <row r="36" spans="2:5" x14ac:dyDescent="0.75">
      <c r="B36" s="32" t="s">
        <v>179</v>
      </c>
      <c r="C36" s="32"/>
      <c r="D36" s="32"/>
      <c r="E36">
        <f>$E$16-1</f>
        <v>13</v>
      </c>
    </row>
    <row r="37" spans="2:5" x14ac:dyDescent="0.75">
      <c r="B37" s="32" t="s">
        <v>180</v>
      </c>
      <c r="C37" s="32"/>
      <c r="D37" s="32"/>
      <c r="E37">
        <f>_xlfn.T.INV.2T(0.05,$E$36)</f>
        <v>2.1603686564627926</v>
      </c>
    </row>
    <row r="38" spans="2:5" x14ac:dyDescent="0.75">
      <c r="B38" s="32" t="s">
        <v>181</v>
      </c>
      <c r="C38" s="32"/>
      <c r="D38" s="32"/>
      <c r="E38">
        <f>$E$17-$E$37*$E$21</f>
        <v>2.9290309408661797</v>
      </c>
    </row>
    <row r="39" spans="2:5" x14ac:dyDescent="0.75">
      <c r="B39" s="32" t="s">
        <v>182</v>
      </c>
      <c r="C39" s="32"/>
      <c r="D39" s="32"/>
      <c r="E39">
        <f>$E$17+$E$37*$E21</f>
        <v>3.5066833448481054</v>
      </c>
    </row>
    <row r="42" spans="2:5" x14ac:dyDescent="0.75">
      <c r="B42" s="34" t="s">
        <v>183</v>
      </c>
      <c r="C42" s="34"/>
      <c r="D42" s="34"/>
      <c r="E42" s="34"/>
    </row>
    <row r="44" spans="2:5" x14ac:dyDescent="0.75">
      <c r="B44" s="33" t="s">
        <v>184</v>
      </c>
      <c r="C44" s="33"/>
    </row>
    <row r="46" spans="2:5" x14ac:dyDescent="0.75">
      <c r="B46" s="32" t="s">
        <v>185</v>
      </c>
      <c r="C46" s="32"/>
      <c r="D46" s="32"/>
      <c r="E46">
        <f>(E28*E10+E36*E20)/(E28+E36)</f>
        <v>0.21200396825396825</v>
      </c>
    </row>
    <row r="47" spans="2:5" x14ac:dyDescent="0.75">
      <c r="B47" s="32" t="s">
        <v>186</v>
      </c>
      <c r="C47" s="32"/>
      <c r="D47" s="32"/>
      <c r="E47">
        <f>SQRT(E46)</f>
        <v>0.4604388865571285</v>
      </c>
    </row>
    <row r="49" spans="2:5" x14ac:dyDescent="0.75">
      <c r="B49" s="33" t="s">
        <v>187</v>
      </c>
      <c r="C49" s="33"/>
    </row>
    <row r="51" spans="2:5" x14ac:dyDescent="0.75">
      <c r="B51" s="32" t="s">
        <v>188</v>
      </c>
      <c r="C51" s="32"/>
      <c r="D51" s="32"/>
      <c r="E51">
        <f>E7-E17</f>
        <v>0.20833333333333393</v>
      </c>
    </row>
    <row r="52" spans="2:5" x14ac:dyDescent="0.75">
      <c r="B52" s="32" t="s">
        <v>189</v>
      </c>
      <c r="C52" s="32"/>
      <c r="D52" s="32"/>
      <c r="E52">
        <f>E47*SQRT(1/E6+1/E16)</f>
        <v>0.15886650889750784</v>
      </c>
    </row>
    <row r="53" spans="2:5" x14ac:dyDescent="0.75">
      <c r="B53" s="32" t="s">
        <v>190</v>
      </c>
      <c r="C53" s="32"/>
      <c r="D53" s="32"/>
      <c r="E53">
        <f>E51/E52</f>
        <v>1.3113735222049818</v>
      </c>
    </row>
    <row r="54" spans="2:5" x14ac:dyDescent="0.75">
      <c r="B54" s="32" t="s">
        <v>191</v>
      </c>
      <c r="C54" s="32"/>
      <c r="D54" s="32"/>
      <c r="E54">
        <f>E28+E36</f>
        <v>33</v>
      </c>
    </row>
    <row r="55" spans="2:5" x14ac:dyDescent="0.75">
      <c r="B55" s="32" t="s">
        <v>192</v>
      </c>
      <c r="C55" s="32"/>
      <c r="D55" s="32"/>
      <c r="E55">
        <f>_xlfn.T.INV(0.95,E54)</f>
        <v>1.6923603090303434</v>
      </c>
    </row>
    <row r="56" spans="2:5" x14ac:dyDescent="0.75">
      <c r="B56" s="32" t="s">
        <v>193</v>
      </c>
      <c r="C56" s="32"/>
      <c r="D56" s="32"/>
      <c r="E56">
        <f>1-_xlfn.T.DIST(E53,E54,TRUE)</f>
        <v>9.9391513551877475E-2</v>
      </c>
    </row>
    <row r="57" spans="2:5" x14ac:dyDescent="0.75">
      <c r="B57" s="32" t="s">
        <v>194</v>
      </c>
      <c r="C57" s="32"/>
      <c r="D57" s="32"/>
      <c r="E57">
        <f>2*(1-_xlfn.T.DIST(ABS(E53),E54,TRUE))</f>
        <v>0.19878302710375495</v>
      </c>
    </row>
  </sheetData>
  <mergeCells count="37">
    <mergeCell ref="B9:D9"/>
    <mergeCell ref="B2:E2"/>
    <mergeCell ref="B4:C4"/>
    <mergeCell ref="B6:D6"/>
    <mergeCell ref="B7:D7"/>
    <mergeCell ref="B8:D8"/>
    <mergeCell ref="B28:D28"/>
    <mergeCell ref="B10:D10"/>
    <mergeCell ref="B11:D11"/>
    <mergeCell ref="B14:C14"/>
    <mergeCell ref="B16:D16"/>
    <mergeCell ref="B17:D17"/>
    <mergeCell ref="B18:D18"/>
    <mergeCell ref="B19:D19"/>
    <mergeCell ref="B20:D20"/>
    <mergeCell ref="B21:D21"/>
    <mergeCell ref="B24:E24"/>
    <mergeCell ref="B26:C26"/>
    <mergeCell ref="B49:C49"/>
    <mergeCell ref="B29:D29"/>
    <mergeCell ref="B30:D30"/>
    <mergeCell ref="B31:D31"/>
    <mergeCell ref="B36:D36"/>
    <mergeCell ref="B37:D37"/>
    <mergeCell ref="B38:D38"/>
    <mergeCell ref="B39:D39"/>
    <mergeCell ref="B42:E42"/>
    <mergeCell ref="B44:C44"/>
    <mergeCell ref="B46:D46"/>
    <mergeCell ref="B47:D47"/>
    <mergeCell ref="B57:D57"/>
    <mergeCell ref="B51:D51"/>
    <mergeCell ref="B52:D52"/>
    <mergeCell ref="B53:D53"/>
    <mergeCell ref="B54:D54"/>
    <mergeCell ref="B55:D55"/>
    <mergeCell ref="B56:D5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B949A-21BB-4B6D-A5ED-EA6B40C7F670}">
  <dimension ref="B1:AF21"/>
  <sheetViews>
    <sheetView tabSelected="1" zoomScale="67" zoomScaleNormal="55" workbookViewId="0">
      <selection activeCell="AF21" sqref="AF21"/>
    </sheetView>
  </sheetViews>
  <sheetFormatPr defaultRowHeight="14.75" x14ac:dyDescent="0.75"/>
  <cols>
    <col min="2" max="2" width="17.26953125" customWidth="1"/>
    <col min="3" max="3" width="17.1328125" customWidth="1"/>
    <col min="4" max="4" width="17.26953125" customWidth="1"/>
    <col min="9" max="11" width="17.40625" customWidth="1"/>
    <col min="16" max="17" width="17.54296875" customWidth="1"/>
    <col min="18" max="18" width="20.40625" customWidth="1"/>
    <col min="27" max="27" width="17.40625" customWidth="1"/>
    <col min="28" max="28" width="17.26953125" customWidth="1"/>
    <col min="29" max="30" width="17.40625" customWidth="1"/>
    <col min="31" max="31" width="17.7265625" customWidth="1"/>
    <col min="32" max="32" width="17.26953125" customWidth="1"/>
  </cols>
  <sheetData>
    <row r="1" spans="2:32" ht="15.5" thickBot="1" x14ac:dyDescent="0.9"/>
    <row r="2" spans="2:32" ht="15.5" thickBot="1" x14ac:dyDescent="0.9">
      <c r="B2" s="19" t="s">
        <v>195</v>
      </c>
      <c r="C2" s="20" t="s">
        <v>196</v>
      </c>
      <c r="D2" s="19" t="s">
        <v>167</v>
      </c>
      <c r="I2" s="23" t="s">
        <v>197</v>
      </c>
      <c r="J2" s="24" t="s">
        <v>156</v>
      </c>
      <c r="K2" s="23" t="s">
        <v>158</v>
      </c>
      <c r="P2" s="31" t="s">
        <v>152</v>
      </c>
      <c r="Q2" s="4" t="s">
        <v>198</v>
      </c>
      <c r="R2" s="31" t="s">
        <v>199</v>
      </c>
      <c r="V2" s="38" t="s">
        <v>159</v>
      </c>
      <c r="W2" s="38"/>
      <c r="X2" s="38"/>
      <c r="Y2" s="38"/>
    </row>
    <row r="3" spans="2:32" ht="15.5" thickBot="1" x14ac:dyDescent="0.9">
      <c r="B3" s="17">
        <v>2.5</v>
      </c>
      <c r="C3" s="14">
        <f>COUNTIFS('Raw Data'!$C$3:$C$37,"Digital",'Raw Data'!$D$3:$D$37,2.5)</f>
        <v>2</v>
      </c>
      <c r="D3" s="17">
        <f>COUNTIFS('Raw Data'!$C$3:$C$37,"Paper",'Raw Data'!$D$3:$D$37,2.5)</f>
        <v>3</v>
      </c>
      <c r="I3" s="25" t="s">
        <v>200</v>
      </c>
      <c r="J3" s="26" cm="1">
        <f t="array" ref="J3">MIN(IF('Raw Data'!$C$3:$C$37="Digital",'Raw Data'!$D$3:$D$37))</f>
        <v>2.5</v>
      </c>
      <c r="K3" s="25" cm="1">
        <f t="array" ref="K3">MIN(IF('Raw Data'!$C$3:$C$37="Paper",'Raw Data'!$D$3:$D$37))</f>
        <v>2.5</v>
      </c>
      <c r="P3" s="29" t="s">
        <v>156</v>
      </c>
      <c r="Q3" s="30">
        <f>AVERAGEIF('Raw Data'!$C$3:$C$37,"Digital",'Raw Data'!$D$3:$D$37)</f>
        <v>3.4261904761904765</v>
      </c>
      <c r="R3" s="29" cm="1">
        <f t="array" ref="R3">STDEV(IF('Raw Data'!$C$3:$C$37="Digital",'Raw Data'!$D$3:$D$37))/SQRT(COUNTIF('Raw Data'!$C$3:$C$37,"Digital"))</f>
        <v>9.4404086348390523E-2</v>
      </c>
    </row>
    <row r="4" spans="2:32" ht="15.5" thickBot="1" x14ac:dyDescent="0.9">
      <c r="B4" s="17">
        <v>3</v>
      </c>
      <c r="C4" s="14">
        <f>COUNTIFS('Raw Data'!$C$3:$C$37,"Digital",'Raw Data'!$D$3:$D$37,3)</f>
        <v>4</v>
      </c>
      <c r="D4" s="17">
        <f>COUNTIFS('Raw Data'!$C$3:$C$37,"Paper",'Raw Data'!$D$3:$D$37,3)</f>
        <v>4</v>
      </c>
      <c r="I4" s="25" t="s">
        <v>201</v>
      </c>
      <c r="J4" s="26" cm="1">
        <f t="array" ref="J4">QUARTILE(IF('Raw Data'!$C$3:$C$37="Digital",'Raw Data'!$D$3:$D$37),1)</f>
        <v>3</v>
      </c>
      <c r="K4" s="25" cm="1">
        <f t="array" ref="K4">QUARTILE(IF('Raw Data'!$C$3:$C$37="Paper",'Raw Data'!$D$3:$D$37),1)</f>
        <v>3</v>
      </c>
      <c r="P4" s="28" t="s">
        <v>158</v>
      </c>
      <c r="Q4" s="27">
        <f>AVERAGEIF('Raw Data'!$C$3:$C$37,"Paper",'Raw Data'!$D$3:$D$37)</f>
        <v>3.2178571428571425</v>
      </c>
      <c r="R4" s="29" cm="1">
        <f t="array" ref="R4">STDEV(IF('Raw Data'!$C$3:$C$37="Paper",'Raw Data'!$D$3:$D$37))/SQRT(COUNTIF('Raw Data'!$C$3:$C$37,"Paper"))</f>
        <v>0.13369301629466468</v>
      </c>
      <c r="V4" s="35" t="s">
        <v>156</v>
      </c>
      <c r="W4" s="35"/>
      <c r="AA4" t="s">
        <v>152</v>
      </c>
      <c r="AB4" t="s">
        <v>202</v>
      </c>
      <c r="AC4" t="s">
        <v>203</v>
      </c>
      <c r="AD4" t="s">
        <v>204</v>
      </c>
      <c r="AE4" t="s">
        <v>205</v>
      </c>
      <c r="AF4" t="s">
        <v>206</v>
      </c>
    </row>
    <row r="5" spans="2:32" ht="15.5" thickBot="1" x14ac:dyDescent="0.9">
      <c r="B5" s="17">
        <v>3.5</v>
      </c>
      <c r="C5" s="14">
        <f>COUNTIFS('Raw Data'!$C$3:$C$37,"Digital",'Raw Data'!$D$3:$D$37,3.5)</f>
        <v>8</v>
      </c>
      <c r="D5" s="17">
        <f>COUNTIFS('Raw Data'!$C$3:$C$37,"Paper",'Raw Data'!$D$3:$D$37,3.5)</f>
        <v>4</v>
      </c>
      <c r="I5" s="25" t="s">
        <v>207</v>
      </c>
      <c r="J5" s="26" cm="1">
        <f t="array" ref="J5">MEDIAN(IF('Raw Data'!$C$3:$C$37="Digital",'Raw Data'!$D$3:$D$37))</f>
        <v>3.5</v>
      </c>
      <c r="K5" s="25" cm="1">
        <f t="array" ref="K5">MEDIAN(IF('Raw Data'!$C$3:$C$37="Paper",'Raw Data'!$D$3:$D$37))</f>
        <v>3.25</v>
      </c>
      <c r="AA5" t="s">
        <v>156</v>
      </c>
      <c r="AB5">
        <f>Y7</f>
        <v>3.4261904761904765</v>
      </c>
      <c r="AC5">
        <f>AB5-_xlfn.T.INV.2T(0.05,Y6-1)*(Y9/SQRT(Y6))</f>
        <v>3.2292670027952033</v>
      </c>
      <c r="AD5">
        <f>AB5+_xlfn.T.INV.2T(0.05,Y6-1)*(Y9/SQRT(Y6))</f>
        <v>3.6231139495857496</v>
      </c>
      <c r="AE5">
        <f>AB5-AC5</f>
        <v>0.19692347339527316</v>
      </c>
      <c r="AF5">
        <f>AD5-AB5</f>
        <v>0.19692347339527316</v>
      </c>
    </row>
    <row r="6" spans="2:32" ht="15.5" thickBot="1" x14ac:dyDescent="0.9">
      <c r="B6" s="18">
        <v>3.85</v>
      </c>
      <c r="C6" s="16">
        <f>COUNTIFS('Raw Data'!$C$3:$C$37,"Digital",'Raw Data'!$D$3:$D$37,3.85)</f>
        <v>7</v>
      </c>
      <c r="D6" s="18">
        <f>COUNTIFS('Raw Data'!$C$3:$C$37,"Paper",'Raw Data'!$D$3:$D$37,3.85)</f>
        <v>3</v>
      </c>
      <c r="I6" s="25" t="s">
        <v>208</v>
      </c>
      <c r="J6" s="26" cm="1">
        <f t="array" ref="J6">QUARTILE(IF('Raw Data'!$C$3:$C$37="Digital",'Raw Data'!$D$3:$D$37),3)</f>
        <v>3.85</v>
      </c>
      <c r="K6" s="25" cm="1">
        <f t="array" ref="K6">QUARTILE(IF('Raw Data'!$C$3:$C$37="Paper",'Raw Data'!$D$3:$D$37),3)</f>
        <v>3.5</v>
      </c>
      <c r="V6" s="32" t="s">
        <v>160</v>
      </c>
      <c r="W6" s="32"/>
      <c r="X6" s="32"/>
      <c r="Y6">
        <f>COUNTIF('Raw Data'!$C$3:$C$37,"Digital")</f>
        <v>21</v>
      </c>
      <c r="AA6" t="s">
        <v>158</v>
      </c>
      <c r="AB6">
        <f>Y17</f>
        <v>3.2178571428571425</v>
      </c>
      <c r="AC6">
        <f>AB6-_xlfn.T.INV.2T(0.05,Y16-1)*(Y19/SQRT(Y16))</f>
        <v>2.9290309408661797</v>
      </c>
      <c r="AD6">
        <f>AB6+_xlfn.T.INV.2T(0.05,Y16-1)*(Y19/SQRT(Y16))</f>
        <v>3.5066833448481054</v>
      </c>
      <c r="AE6">
        <f>AB6-AC6</f>
        <v>0.28882620199096287</v>
      </c>
      <c r="AF6">
        <f>AD6-AB6</f>
        <v>0.28882620199096287</v>
      </c>
    </row>
    <row r="7" spans="2:32" ht="15.5" thickBot="1" x14ac:dyDescent="0.9">
      <c r="I7" s="22" t="s">
        <v>209</v>
      </c>
      <c r="J7" s="21" cm="1">
        <f t="array" ref="J7">MAX(IF('Raw Data'!$C$3:$C$37="Digital",'Raw Data'!$D$3:$D$37))</f>
        <v>3.85</v>
      </c>
      <c r="K7" s="22" cm="1">
        <f t="array" ref="K7">MAX(IF('Raw Data'!$C$3:$C$37="Paper",'Raw Data'!$D$3:$D$37))</f>
        <v>3.85</v>
      </c>
      <c r="V7" s="32" t="s">
        <v>161</v>
      </c>
      <c r="W7" s="32"/>
      <c r="X7" s="32"/>
      <c r="Y7">
        <f>AVERAGEIF('Raw Data'!$C$3:$C$37,"Digital",'Raw Data'!$D$3:$D$37)</f>
        <v>3.4261904761904765</v>
      </c>
    </row>
    <row r="8" spans="2:32" x14ac:dyDescent="0.75">
      <c r="V8" s="32" t="s">
        <v>162</v>
      </c>
      <c r="W8" s="32"/>
      <c r="X8" s="32"/>
      <c r="Y8" cm="1">
        <f t="array" ref="Y8">MEDIAN(IF('Raw Data'!$C$3:$C$37="Digital",'Raw Data'!$D$3:$D$37))</f>
        <v>3.5</v>
      </c>
    </row>
    <row r="9" spans="2:32" x14ac:dyDescent="0.75">
      <c r="V9" s="32" t="s">
        <v>163</v>
      </c>
      <c r="W9" s="32"/>
      <c r="X9" s="32"/>
      <c r="Y9" cm="1">
        <f t="array" ref="Y9">_xlfn.STDEV.S(IF('Raw Data'!$C$3:$C$37="Digital",'Raw Data'!$D$3:$D$37))</f>
        <v>0.43261387160464682</v>
      </c>
    </row>
    <row r="10" spans="2:32" x14ac:dyDescent="0.75">
      <c r="V10" s="32" t="s">
        <v>164</v>
      </c>
      <c r="W10" s="32"/>
      <c r="X10" s="32"/>
      <c r="Y10" cm="1">
        <f t="array" ref="Y10">_xlfn.VAR.S(IF('Raw Data'!$C$3:$C$37="Digital",'Raw Data'!$D$3:$D$37))</f>
        <v>0.18715476190476182</v>
      </c>
    </row>
    <row r="11" spans="2:32" x14ac:dyDescent="0.75">
      <c r="V11" s="32" t="s">
        <v>165</v>
      </c>
      <c r="W11" s="32"/>
      <c r="X11" s="32"/>
      <c r="Y11">
        <f>Y9/SQRT(Y6)</f>
        <v>9.4404086348390523E-2</v>
      </c>
    </row>
    <row r="14" spans="2:32" x14ac:dyDescent="0.75">
      <c r="V14" s="35" t="s">
        <v>158</v>
      </c>
      <c r="W14" s="35"/>
    </row>
    <row r="16" spans="2:32" x14ac:dyDescent="0.75">
      <c r="V16" s="32" t="s">
        <v>167</v>
      </c>
      <c r="W16" s="32"/>
      <c r="X16" s="32"/>
      <c r="Y16">
        <f>COUNTIF('Raw Data'!$C$3:$C$37,"Paper")</f>
        <v>14</v>
      </c>
    </row>
    <row r="17" spans="22:25" x14ac:dyDescent="0.75">
      <c r="V17" s="32" t="s">
        <v>168</v>
      </c>
      <c r="W17" s="32"/>
      <c r="X17" s="32"/>
      <c r="Y17">
        <f>AVERAGEIF('Raw Data'!$C$3:$C$37,"Paper",'Raw Data'!$D$3:$D$37)</f>
        <v>3.2178571428571425</v>
      </c>
    </row>
    <row r="18" spans="22:25" x14ac:dyDescent="0.75">
      <c r="V18" s="32" t="s">
        <v>169</v>
      </c>
      <c r="W18" s="32"/>
      <c r="X18" s="32"/>
      <c r="Y18" cm="1">
        <f t="array" ref="Y18">MEDIAN(IF('Raw Data'!$C$3:$C$37="Paper",'Raw Data'!$D$3:$D$37))</f>
        <v>3.25</v>
      </c>
    </row>
    <row r="19" spans="22:25" x14ac:dyDescent="0.75">
      <c r="V19" s="32" t="s">
        <v>170</v>
      </c>
      <c r="W19" s="32"/>
      <c r="X19" s="32"/>
      <c r="Y19" cm="1">
        <f t="array" ref="Y19">_xlfn.STDEV.S(IF('Raw Data'!$C$3:$C$37="Paper",'Raw Data'!$D$3:$D$37))</f>
        <v>0.50023346197902097</v>
      </c>
    </row>
    <row r="20" spans="22:25" x14ac:dyDescent="0.75">
      <c r="V20" s="32" t="s">
        <v>171</v>
      </c>
      <c r="W20" s="32"/>
      <c r="X20" s="32"/>
      <c r="Y20" cm="1">
        <f t="array" ref="Y20">_xlfn.VAR.S(IF('Raw Data'!$C$3:$C$37="Paper",'Raw Data'!$D$3:$D$37))</f>
        <v>0.2502335164835166</v>
      </c>
    </row>
    <row r="21" spans="22:25" x14ac:dyDescent="0.75">
      <c r="V21" s="32" t="s">
        <v>172</v>
      </c>
      <c r="W21" s="32"/>
      <c r="X21" s="32"/>
      <c r="Y21">
        <f>Y19/SQRT(Y16)</f>
        <v>0.13369301629466468</v>
      </c>
    </row>
  </sheetData>
  <mergeCells count="15">
    <mergeCell ref="V9:X9"/>
    <mergeCell ref="V2:Y2"/>
    <mergeCell ref="V4:W4"/>
    <mergeCell ref="V6:X6"/>
    <mergeCell ref="V7:X7"/>
    <mergeCell ref="V8:X8"/>
    <mergeCell ref="V19:X19"/>
    <mergeCell ref="V20:X20"/>
    <mergeCell ref="V21:X21"/>
    <mergeCell ref="V10:X10"/>
    <mergeCell ref="V11:X11"/>
    <mergeCell ref="V14:W14"/>
    <mergeCell ref="V16:X16"/>
    <mergeCell ref="V17:X17"/>
    <mergeCell ref="V18:X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Raw Data</vt:lpstr>
      <vt:lpstr>Calculations</vt:lpstr>
      <vt:lpstr>Graphs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Adam Zein</dc:creator>
  <cp:keywords/>
  <dc:description/>
  <cp:lastModifiedBy>Adam El Zein</cp:lastModifiedBy>
  <cp:revision/>
  <dcterms:created xsi:type="dcterms:W3CDTF">2025-08-10T22:06:37Z</dcterms:created>
  <dcterms:modified xsi:type="dcterms:W3CDTF">2025-08-15T02:33:47Z</dcterms:modified>
  <cp:category/>
  <cp:contentStatus/>
</cp:coreProperties>
</file>